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ijakedem/Desktop/RABONA HOLDINGS/3 ACCOUNTING/PAYMENTS TO SERVICE PROVIDERS/PAYMENTS TO SERVICE PROVIDERS 2026/01 JANUARY 2026/"/>
    </mc:Choice>
  </mc:AlternateContent>
  <xr:revisionPtr revIDLastSave="0" documentId="13_ncr:1_{FB7DE266-A243-1F45-9FBD-15D520315E5D}" xr6:coauthVersionLast="47" xr6:coauthVersionMax="47" xr10:uidLastSave="{00000000-0000-0000-0000-000000000000}"/>
  <bookViews>
    <workbookView xWindow="0" yWindow="600" windowWidth="44800" windowHeight="23320" activeTab="2" xr2:uid="{FE150FA6-17E4-ED4D-88C9-F7029445FBCA}"/>
  </bookViews>
  <sheets>
    <sheet name="RABONA PAYMENTS" sheetId="1" r:id="rId1"/>
    <sheet name="EXPENSES Mothly Totals" sheetId="12" r:id="rId2"/>
    <sheet name="EXP paid on behalf of Client" sheetId="10" r:id="rId3"/>
    <sheet name="EXP to refund to employees" sheetId="11" r:id="rId4"/>
  </sheets>
  <definedNames>
    <definedName name="_xlnm._FilterDatabase" localSheetId="0" hidden="1">'RABONA PAYMENTS'!$B$6:$AI$210</definedName>
    <definedName name="_xlnm.Print_Area" localSheetId="2">'EXP paid on behalf of Client'!$C$70:$AK$115</definedName>
    <definedName name="_xlnm.Print_Area" localSheetId="3">'EXP to refund to employees'!$B$84:$Z$117</definedName>
    <definedName name="_xlnm.Print_Area" localSheetId="1">'EXPENSES Mothly Totals'!$B$2:$D$163</definedName>
    <definedName name="_xlnm.Print_Area" localSheetId="0">'RABONA PAYMENTS'!$B$3:$AC$205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41" i="1" l="1"/>
  <c r="U40" i="1"/>
  <c r="D54" i="12"/>
  <c r="D55" i="12"/>
  <c r="V128" i="1" l="1"/>
  <c r="V129" i="1"/>
  <c r="V130" i="1"/>
  <c r="S128" i="1"/>
  <c r="S127" i="1"/>
  <c r="V123" i="1"/>
  <c r="V124" i="1"/>
  <c r="V125" i="1"/>
  <c r="V126" i="1"/>
  <c r="V127" i="1"/>
  <c r="D45" i="12"/>
  <c r="D46" i="12"/>
  <c r="D42" i="12"/>
  <c r="D43" i="12"/>
  <c r="D41" i="12"/>
  <c r="D176" i="12"/>
  <c r="D173" i="12"/>
  <c r="U39" i="1"/>
  <c r="U38" i="1"/>
  <c r="U37" i="1"/>
  <c r="U34" i="1"/>
  <c r="AG11" i="1"/>
  <c r="AG12" i="1"/>
  <c r="AA11" i="1"/>
  <c r="AH11" i="1" s="1"/>
  <c r="X11" i="1"/>
  <c r="Y11" i="1" s="1"/>
  <c r="AB11" i="1" s="1"/>
  <c r="X12" i="1"/>
  <c r="Y12" i="1" s="1"/>
  <c r="AB12" i="1" s="1"/>
  <c r="W11" i="1"/>
  <c r="M11" i="1"/>
  <c r="C17" i="1"/>
  <c r="C18" i="1"/>
  <c r="AG10" i="1"/>
  <c r="AA10" i="1"/>
  <c r="AH10" i="1" s="1"/>
  <c r="AA12" i="1"/>
  <c r="AH12" i="1" s="1"/>
  <c r="X10" i="1"/>
  <c r="Y10" i="1" s="1"/>
  <c r="AB10" i="1" s="1"/>
  <c r="W10" i="1"/>
  <c r="W12" i="1"/>
  <c r="M10" i="1"/>
  <c r="M12" i="1"/>
  <c r="S206" i="1" l="1"/>
  <c r="AE11" i="1"/>
  <c r="AE12" i="1"/>
  <c r="AE10" i="1"/>
  <c r="V106" i="1" l="1"/>
  <c r="V107" i="1"/>
  <c r="V108" i="1"/>
  <c r="V109" i="1"/>
  <c r="V105" i="1"/>
  <c r="M128" i="1"/>
  <c r="T99" i="1" l="1"/>
  <c r="M66" i="1"/>
  <c r="T66" i="1"/>
  <c r="M67" i="1"/>
  <c r="T67" i="1"/>
  <c r="T56" i="1"/>
  <c r="M52" i="1"/>
  <c r="M51" i="1"/>
  <c r="V42" i="1" l="1"/>
  <c r="V43" i="1"/>
  <c r="V44" i="1"/>
  <c r="V39" i="1"/>
  <c r="V40" i="1"/>
  <c r="V41" i="1"/>
  <c r="U32" i="1"/>
  <c r="AG13" i="1"/>
  <c r="AG14" i="1"/>
  <c r="AG15" i="1"/>
  <c r="AA13" i="1"/>
  <c r="AE13" i="1" s="1"/>
  <c r="AA14" i="1"/>
  <c r="AE14" i="1" s="1"/>
  <c r="AA15" i="1"/>
  <c r="AH15" i="1" s="1"/>
  <c r="X13" i="1"/>
  <c r="X14" i="1"/>
  <c r="Y14" i="1" s="1"/>
  <c r="AB14" i="1" s="1"/>
  <c r="X15" i="1"/>
  <c r="Y15" i="1" s="1"/>
  <c r="AB15" i="1" s="1"/>
  <c r="W13" i="1"/>
  <c r="W14" i="1"/>
  <c r="W15" i="1"/>
  <c r="M15" i="1"/>
  <c r="M14" i="1"/>
  <c r="M13" i="1"/>
  <c r="V60" i="1"/>
  <c r="Y13" i="1" l="1"/>
  <c r="AB13" i="1" s="1"/>
  <c r="AE15" i="1"/>
  <c r="AH14" i="1"/>
  <c r="AH13" i="1"/>
  <c r="M28" i="1"/>
  <c r="M27" i="1"/>
  <c r="M26" i="1"/>
  <c r="AG9" i="1"/>
  <c r="AA9" i="1"/>
  <c r="AE9" i="1" s="1"/>
  <c r="X9" i="1"/>
  <c r="Y9" i="1" s="1"/>
  <c r="AB9" i="1" s="1"/>
  <c r="W9" i="1"/>
  <c r="M9" i="1"/>
  <c r="C126" i="1"/>
  <c r="C127" i="1"/>
  <c r="C128" i="1" s="1"/>
  <c r="C129" i="1"/>
  <c r="T118" i="1"/>
  <c r="T117" i="1"/>
  <c r="T110" i="1"/>
  <c r="V116" i="1"/>
  <c r="V121" i="1"/>
  <c r="V122" i="1"/>
  <c r="T105" i="1"/>
  <c r="AH9" i="1" l="1"/>
  <c r="U31" i="1"/>
  <c r="W7" i="1" l="1"/>
  <c r="X7" i="1"/>
  <c r="Y7" i="1" s="1"/>
  <c r="AB7" i="1" s="1"/>
  <c r="AE7" i="1"/>
  <c r="AG7" i="1"/>
  <c r="AH7" i="1"/>
  <c r="AG16" i="1"/>
  <c r="AG17" i="1"/>
  <c r="AG18" i="1"/>
  <c r="AA16" i="1"/>
  <c r="AE16" i="1" s="1"/>
  <c r="AA17" i="1"/>
  <c r="AH17" i="1" s="1"/>
  <c r="AA18" i="1"/>
  <c r="AH18" i="1" s="1"/>
  <c r="X16" i="1"/>
  <c r="X17" i="1"/>
  <c r="Y17" i="1" s="1"/>
  <c r="AB17" i="1" s="1"/>
  <c r="X18" i="1"/>
  <c r="Y18" i="1" s="1"/>
  <c r="AB18" i="1" s="1"/>
  <c r="W16" i="1"/>
  <c r="W17" i="1"/>
  <c r="W18" i="1"/>
  <c r="M18" i="1"/>
  <c r="M17" i="1"/>
  <c r="M16" i="1"/>
  <c r="C16" i="1"/>
  <c r="Y16" i="1" l="1"/>
  <c r="AB16" i="1" s="1"/>
  <c r="D30" i="12"/>
  <c r="AE18" i="1"/>
  <c r="AE17" i="1"/>
  <c r="AH16" i="1"/>
  <c r="V35" i="1"/>
  <c r="V36" i="1"/>
  <c r="V37" i="1"/>
  <c r="V38" i="1"/>
  <c r="V31" i="1"/>
  <c r="V32" i="1"/>
  <c r="M7" i="1"/>
  <c r="AA132" i="1"/>
  <c r="M114" i="1"/>
  <c r="M85" i="1" l="1"/>
  <c r="T47" i="1"/>
  <c r="T46" i="1"/>
  <c r="T45" i="1"/>
  <c r="T44" i="1"/>
  <c r="T43" i="1"/>
  <c r="T42" i="1"/>
  <c r="V170" i="1" l="1"/>
  <c r="V171" i="1"/>
  <c r="V172" i="1"/>
  <c r="V173" i="1"/>
  <c r="V174" i="1"/>
  <c r="V175" i="1"/>
  <c r="V176" i="1"/>
  <c r="V177" i="1"/>
  <c r="V178" i="1"/>
  <c r="AA154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49" i="1"/>
  <c r="C146" i="1"/>
  <c r="V141" i="1"/>
  <c r="V142" i="1"/>
  <c r="V143" i="1"/>
  <c r="V140" i="1"/>
  <c r="V133" i="1"/>
  <c r="V135" i="1"/>
  <c r="V136" i="1"/>
  <c r="V137" i="1"/>
  <c r="V139" i="1"/>
  <c r="T102" i="1"/>
  <c r="N2" i="1" l="1"/>
  <c r="T86" i="1" l="1"/>
  <c r="T87" i="1"/>
  <c r="T88" i="1"/>
  <c r="T89" i="1"/>
  <c r="T81" i="1"/>
  <c r="M50" i="1" l="1"/>
  <c r="M49" i="1"/>
  <c r="M48" i="1"/>
  <c r="U25" i="1"/>
  <c r="T75" i="1" l="1"/>
  <c r="T76" i="1"/>
  <c r="T77" i="1"/>
  <c r="T74" i="1"/>
  <c r="T73" i="1"/>
  <c r="M73" i="1"/>
  <c r="M29" i="1" l="1"/>
  <c r="AE54" i="10" l="1"/>
  <c r="C57" i="1" l="1"/>
  <c r="C58" i="1" s="1"/>
  <c r="C59" i="1" s="1"/>
  <c r="C60" i="1"/>
  <c r="M184" i="1" l="1"/>
  <c r="M183" i="1"/>
  <c r="M182" i="1"/>
  <c r="M181" i="1"/>
  <c r="M180" i="1"/>
  <c r="M179" i="1"/>
  <c r="M178" i="1"/>
  <c r="M177" i="1"/>
  <c r="T109" i="1" l="1"/>
  <c r="T111" i="1"/>
  <c r="T112" i="1"/>
  <c r="T113" i="1"/>
  <c r="T103" i="1"/>
  <c r="X103" i="1" s="1"/>
  <c r="Y103" i="1" s="1"/>
  <c r="T104" i="1"/>
  <c r="T106" i="1"/>
  <c r="T107" i="1"/>
  <c r="AA99" i="1" l="1"/>
  <c r="W99" i="1"/>
  <c r="X99" i="1"/>
  <c r="Y99" i="1" s="1"/>
  <c r="AB99" i="1" s="1"/>
  <c r="M99" i="1"/>
  <c r="AG99" i="1" l="1"/>
  <c r="AH99" i="1"/>
  <c r="AE99" i="1"/>
  <c r="C26" i="1" l="1"/>
  <c r="AE56" i="10" l="1"/>
  <c r="M64" i="1" l="1"/>
  <c r="M63" i="1"/>
  <c r="M65" i="1"/>
  <c r="M38" i="1" l="1"/>
  <c r="AA45" i="1" l="1"/>
  <c r="W45" i="1"/>
  <c r="X45" i="1"/>
  <c r="Y45" i="1" s="1"/>
  <c r="AB45" i="1" s="1"/>
  <c r="M45" i="1"/>
  <c r="C45" i="1"/>
  <c r="M173" i="1"/>
  <c r="M105" i="1"/>
  <c r="AG45" i="1" l="1"/>
  <c r="AH45" i="1"/>
  <c r="AE45" i="1"/>
  <c r="M174" i="1"/>
  <c r="M176" i="1"/>
  <c r="M175" i="1"/>
  <c r="M172" i="1"/>
  <c r="M171" i="1"/>
  <c r="M170" i="1"/>
  <c r="M169" i="1"/>
  <c r="M168" i="1"/>
  <c r="M159" i="1"/>
  <c r="M160" i="1"/>
  <c r="M161" i="1"/>
  <c r="M162" i="1"/>
  <c r="M163" i="1"/>
  <c r="M164" i="1"/>
  <c r="M165" i="1"/>
  <c r="M166" i="1"/>
  <c r="M167" i="1"/>
  <c r="M158" i="1"/>
  <c r="T85" i="1"/>
  <c r="M84" i="1"/>
  <c r="T58" i="1"/>
  <c r="U26" i="1" l="1"/>
  <c r="U21" i="1"/>
  <c r="U20" i="1"/>
  <c r="U19" i="1" l="1"/>
  <c r="C21" i="1" l="1"/>
  <c r="AA21" i="1"/>
  <c r="AH21" i="1" s="1"/>
  <c r="X21" i="1"/>
  <c r="Y21" i="1" s="1"/>
  <c r="AB21" i="1" s="1"/>
  <c r="W21" i="1"/>
  <c r="M21" i="1"/>
  <c r="AG21" i="1" l="1"/>
  <c r="AE21" i="1"/>
  <c r="T96" i="1" l="1"/>
  <c r="T95" i="1"/>
  <c r="T94" i="1"/>
  <c r="T93" i="1"/>
  <c r="T92" i="1"/>
  <c r="T91" i="1"/>
  <c r="X66" i="1"/>
  <c r="AG66" i="1" s="1"/>
  <c r="T90" i="1"/>
  <c r="M86" i="1"/>
  <c r="AA66" i="1"/>
  <c r="AH66" i="1" s="1"/>
  <c r="W66" i="1"/>
  <c r="AE66" i="1" l="1"/>
  <c r="Y66" i="1"/>
  <c r="AB66" i="1" s="1"/>
  <c r="AA58" i="1"/>
  <c r="W58" i="1"/>
  <c r="X58" i="1"/>
  <c r="Y58" i="1" s="1"/>
  <c r="AB58" i="1" s="1"/>
  <c r="M58" i="1"/>
  <c r="M57" i="1"/>
  <c r="T57" i="1"/>
  <c r="X57" i="1" s="1"/>
  <c r="Y57" i="1" s="1"/>
  <c r="AB57" i="1" s="1"/>
  <c r="W57" i="1"/>
  <c r="AA57" i="1"/>
  <c r="AE57" i="1" s="1"/>
  <c r="AG57" i="1"/>
  <c r="M59" i="1"/>
  <c r="T59" i="1"/>
  <c r="X59" i="1" s="1"/>
  <c r="Y59" i="1" s="1"/>
  <c r="AB59" i="1" s="1"/>
  <c r="W59" i="1"/>
  <c r="AA59" i="1"/>
  <c r="AG59" i="1"/>
  <c r="M60" i="1"/>
  <c r="T60" i="1"/>
  <c r="X60" i="1" s="1"/>
  <c r="Y60" i="1" s="1"/>
  <c r="AB60" i="1" s="1"/>
  <c r="W60" i="1"/>
  <c r="AA60" i="1"/>
  <c r="M61" i="1"/>
  <c r="T61" i="1"/>
  <c r="X61" i="1" s="1"/>
  <c r="Y61" i="1" s="1"/>
  <c r="AB61" i="1" s="1"/>
  <c r="W61" i="1"/>
  <c r="AA61" i="1"/>
  <c r="M62" i="1"/>
  <c r="T62" i="1"/>
  <c r="X62" i="1" s="1"/>
  <c r="Y62" i="1" s="1"/>
  <c r="AB62" i="1" s="1"/>
  <c r="W62" i="1"/>
  <c r="AA62" i="1"/>
  <c r="AE62" i="1" s="1"/>
  <c r="T63" i="1"/>
  <c r="X63" i="1" s="1"/>
  <c r="Y63" i="1" s="1"/>
  <c r="AB63" i="1" s="1"/>
  <c r="W63" i="1"/>
  <c r="AA63" i="1"/>
  <c r="AE63" i="1" s="1"/>
  <c r="T64" i="1"/>
  <c r="X64" i="1" s="1"/>
  <c r="Y64" i="1" s="1"/>
  <c r="AB64" i="1" s="1"/>
  <c r="W64" i="1"/>
  <c r="AA64" i="1"/>
  <c r="AG64" i="1"/>
  <c r="AH59" i="1" l="1"/>
  <c r="AG60" i="1"/>
  <c r="AG62" i="1"/>
  <c r="AG61" i="1"/>
  <c r="AG63" i="1"/>
  <c r="AH58" i="1"/>
  <c r="AH61" i="1"/>
  <c r="AH64" i="1"/>
  <c r="AE61" i="1"/>
  <c r="AE59" i="1"/>
  <c r="AE64" i="1"/>
  <c r="AH57" i="1"/>
  <c r="AE58" i="1"/>
  <c r="AH63" i="1"/>
  <c r="AG58" i="1"/>
  <c r="AH60" i="1"/>
  <c r="AH62" i="1"/>
  <c r="AE60" i="1"/>
  <c r="M47" i="1" l="1"/>
  <c r="C47" i="1"/>
  <c r="C48" i="1"/>
  <c r="C49" i="1"/>
  <c r="AA40" i="1"/>
  <c r="X40" i="1"/>
  <c r="W40" i="1"/>
  <c r="M40" i="1"/>
  <c r="AA96" i="1"/>
  <c r="W96" i="1"/>
  <c r="X96" i="1"/>
  <c r="Y96" i="1" s="1"/>
  <c r="AB96" i="1" s="1"/>
  <c r="M96" i="1"/>
  <c r="AA95" i="1"/>
  <c r="AE95" i="1" s="1"/>
  <c r="W95" i="1"/>
  <c r="X95" i="1"/>
  <c r="M95" i="1"/>
  <c r="AA94" i="1"/>
  <c r="W94" i="1"/>
  <c r="X94" i="1"/>
  <c r="AG94" i="1" s="1"/>
  <c r="M94" i="1"/>
  <c r="AA93" i="1"/>
  <c r="AE93" i="1" s="1"/>
  <c r="W93" i="1"/>
  <c r="X93" i="1"/>
  <c r="Y93" i="1" s="1"/>
  <c r="AB93" i="1" s="1"/>
  <c r="M93" i="1"/>
  <c r="AA92" i="1"/>
  <c r="W92" i="1"/>
  <c r="X92" i="1"/>
  <c r="Y92" i="1" s="1"/>
  <c r="AB92" i="1" s="1"/>
  <c r="M92" i="1"/>
  <c r="AA91" i="1"/>
  <c r="AE91" i="1" s="1"/>
  <c r="W91" i="1"/>
  <c r="X91" i="1"/>
  <c r="M91" i="1"/>
  <c r="AA90" i="1"/>
  <c r="AH90" i="1" s="1"/>
  <c r="W90" i="1"/>
  <c r="X90" i="1"/>
  <c r="AG90" i="1" s="1"/>
  <c r="M90" i="1"/>
  <c r="AA89" i="1"/>
  <c r="AE89" i="1" s="1"/>
  <c r="W89" i="1"/>
  <c r="X89" i="1"/>
  <c r="Y89" i="1" s="1"/>
  <c r="AB89" i="1" s="1"/>
  <c r="M89" i="1"/>
  <c r="C89" i="1"/>
  <c r="C90" i="1"/>
  <c r="C91" i="1"/>
  <c r="C92" i="1"/>
  <c r="C93" i="1"/>
  <c r="C94" i="1"/>
  <c r="C95" i="1"/>
  <c r="C96" i="1"/>
  <c r="Y40" i="1" l="1"/>
  <c r="AB40" i="1" s="1"/>
  <c r="AH40" i="1"/>
  <c r="AG89" i="1"/>
  <c r="AG92" i="1"/>
  <c r="AG93" i="1"/>
  <c r="AG96" i="1"/>
  <c r="AH92" i="1"/>
  <c r="AH96" i="1"/>
  <c r="AE96" i="1"/>
  <c r="AG40" i="1"/>
  <c r="AH94" i="1"/>
  <c r="AE40" i="1"/>
  <c r="AE90" i="1"/>
  <c r="AE94" i="1"/>
  <c r="AE92" i="1"/>
  <c r="Y91" i="1"/>
  <c r="AB91" i="1" s="1"/>
  <c r="AG91" i="1"/>
  <c r="Y95" i="1"/>
  <c r="AB95" i="1" s="1"/>
  <c r="AG95" i="1"/>
  <c r="AH89" i="1"/>
  <c r="AH91" i="1"/>
  <c r="AH93" i="1"/>
  <c r="AH95" i="1"/>
  <c r="Y90" i="1"/>
  <c r="AB90" i="1" s="1"/>
  <c r="Y94" i="1"/>
  <c r="AB94" i="1" s="1"/>
  <c r="U73" i="11" l="1"/>
  <c r="U74" i="11"/>
  <c r="U75" i="11"/>
  <c r="U72" i="11"/>
  <c r="S66" i="11"/>
  <c r="S80" i="11"/>
  <c r="AG70" i="11"/>
  <c r="AA70" i="11"/>
  <c r="AH70" i="11" s="1"/>
  <c r="W70" i="11"/>
  <c r="U70" i="11"/>
  <c r="X70" i="11" s="1"/>
  <c r="Y70" i="11" s="1"/>
  <c r="AB70" i="11" s="1"/>
  <c r="M70" i="11"/>
  <c r="AG69" i="11"/>
  <c r="AA69" i="11"/>
  <c r="AE69" i="11" s="1"/>
  <c r="W69" i="11"/>
  <c r="U69" i="11"/>
  <c r="X69" i="11" s="1"/>
  <c r="Y69" i="11" s="1"/>
  <c r="AB69" i="11" s="1"/>
  <c r="M69" i="11"/>
  <c r="AG68" i="11"/>
  <c r="AA68" i="11"/>
  <c r="AE68" i="11" s="1"/>
  <c r="W68" i="11"/>
  <c r="U68" i="11"/>
  <c r="X68" i="11" s="1"/>
  <c r="Y68" i="11" s="1"/>
  <c r="AB68" i="11" s="1"/>
  <c r="M68" i="11"/>
  <c r="AG104" i="11"/>
  <c r="AA104" i="11"/>
  <c r="AH104" i="11" s="1"/>
  <c r="W104" i="11"/>
  <c r="T104" i="11"/>
  <c r="X104" i="11" s="1"/>
  <c r="Y104" i="11" s="1"/>
  <c r="AB104" i="11" s="1"/>
  <c r="M104" i="11"/>
  <c r="AG103" i="11"/>
  <c r="AA103" i="11"/>
  <c r="AH103" i="11" s="1"/>
  <c r="V103" i="11"/>
  <c r="W103" i="11" s="1"/>
  <c r="T103" i="11"/>
  <c r="X103" i="11" s="1"/>
  <c r="Y103" i="11" s="1"/>
  <c r="AB103" i="11" s="1"/>
  <c r="M103" i="11"/>
  <c r="AG102" i="11"/>
  <c r="AA102" i="11"/>
  <c r="AH102" i="11" s="1"/>
  <c r="W102" i="11"/>
  <c r="T102" i="11"/>
  <c r="X102" i="11" s="1"/>
  <c r="Y102" i="11" s="1"/>
  <c r="AB102" i="11" s="1"/>
  <c r="M102" i="11"/>
  <c r="S27" i="11"/>
  <c r="S81" i="11" s="1"/>
  <c r="M157" i="1"/>
  <c r="AE70" i="11" l="1"/>
  <c r="AH69" i="11"/>
  <c r="AH68" i="11"/>
  <c r="AE104" i="11"/>
  <c r="AE102" i="11"/>
  <c r="AE103" i="11"/>
  <c r="M154" i="1" l="1"/>
  <c r="M155" i="1"/>
  <c r="M156" i="1"/>
  <c r="M153" i="1"/>
  <c r="M152" i="1" l="1"/>
  <c r="M151" i="1"/>
  <c r="M149" i="1"/>
  <c r="M150" i="1"/>
  <c r="M143" i="1"/>
  <c r="W74" i="1"/>
  <c r="W75" i="1"/>
  <c r="M189" i="1" l="1"/>
  <c r="M34" i="1" l="1"/>
  <c r="M148" i="1" l="1"/>
  <c r="M147" i="1"/>
  <c r="M146" i="1"/>
  <c r="M145" i="1"/>
  <c r="M144" i="1"/>
  <c r="M142" i="1"/>
  <c r="M19" i="1" l="1"/>
  <c r="S105" i="11"/>
  <c r="M83" i="1" l="1"/>
  <c r="M136" i="1"/>
  <c r="M137" i="1"/>
  <c r="M138" i="1"/>
  <c r="M139" i="1"/>
  <c r="M140" i="1"/>
  <c r="M141" i="1"/>
  <c r="M135" i="1"/>
  <c r="M134" i="1"/>
  <c r="M133" i="1" l="1"/>
  <c r="M132" i="1"/>
  <c r="M131" i="1"/>
  <c r="M130" i="1"/>
  <c r="M129" i="1"/>
  <c r="T128" i="1"/>
  <c r="T129" i="1"/>
  <c r="T130" i="1"/>
  <c r="T127" i="1"/>
  <c r="M127" i="1"/>
  <c r="T126" i="1"/>
  <c r="M126" i="1"/>
  <c r="T125" i="1"/>
  <c r="M125" i="1"/>
  <c r="T124" i="1"/>
  <c r="M124" i="1"/>
  <c r="M123" i="1"/>
  <c r="M122" i="1"/>
  <c r="M121" i="1"/>
  <c r="M120" i="1"/>
  <c r="M119" i="1"/>
  <c r="M118" i="1"/>
  <c r="M117" i="1"/>
  <c r="M116" i="1"/>
  <c r="M115" i="1"/>
  <c r="M72" i="1"/>
  <c r="U24" i="1"/>
  <c r="U23" i="1"/>
  <c r="U22" i="1"/>
  <c r="U206" i="1" s="1"/>
  <c r="M53" i="1"/>
  <c r="AA46" i="1"/>
  <c r="M42" i="1"/>
  <c r="M41" i="1"/>
  <c r="M204" i="1"/>
  <c r="M37" i="1"/>
  <c r="M36" i="1"/>
  <c r="M35" i="1" l="1"/>
  <c r="M32" i="1" l="1"/>
  <c r="AA31" i="1"/>
  <c r="W31" i="1"/>
  <c r="X31" i="1"/>
  <c r="Y31" i="1" s="1"/>
  <c r="AB31" i="1" s="1"/>
  <c r="M31" i="1"/>
  <c r="AA30" i="1"/>
  <c r="W30" i="1"/>
  <c r="X30" i="1"/>
  <c r="Y30" i="1" s="1"/>
  <c r="AB30" i="1" s="1"/>
  <c r="M30" i="1"/>
  <c r="C30" i="1"/>
  <c r="M22" i="1"/>
  <c r="M23" i="1"/>
  <c r="M24" i="1"/>
  <c r="M25" i="1"/>
  <c r="AH30" i="1" l="1"/>
  <c r="AG30" i="1"/>
  <c r="AE30" i="1"/>
  <c r="S101" i="11"/>
  <c r="T64" i="10"/>
  <c r="S117" i="11" l="1"/>
  <c r="T108" i="1"/>
  <c r="X102" i="1"/>
  <c r="T101" i="1"/>
  <c r="T114" i="1"/>
  <c r="T115" i="1"/>
  <c r="T116" i="1"/>
  <c r="T119" i="1"/>
  <c r="T120" i="1"/>
  <c r="T121" i="1"/>
  <c r="T122" i="1"/>
  <c r="T123" i="1"/>
  <c r="T100" i="1"/>
  <c r="M191" i="1"/>
  <c r="M194" i="1"/>
  <c r="C203" i="1"/>
  <c r="C204" i="1"/>
  <c r="C205" i="1"/>
  <c r="M203" i="1"/>
  <c r="M205" i="1"/>
  <c r="T63" i="10" l="1"/>
  <c r="T65" i="10" s="1"/>
  <c r="T79" i="1"/>
  <c r="T55" i="1" l="1"/>
  <c r="T52" i="1"/>
  <c r="AG50" i="1"/>
  <c r="AA50" i="1"/>
  <c r="W50" i="1"/>
  <c r="T50" i="1"/>
  <c r="X50" i="1" s="1"/>
  <c r="Y50" i="1" s="1"/>
  <c r="AB50" i="1" s="1"/>
  <c r="AG49" i="1"/>
  <c r="AA49" i="1"/>
  <c r="AE49" i="1" s="1"/>
  <c r="W49" i="1"/>
  <c r="T49" i="1"/>
  <c r="X49" i="1" s="1"/>
  <c r="Y49" i="1" s="1"/>
  <c r="AB49" i="1" s="1"/>
  <c r="AG48" i="1"/>
  <c r="AA48" i="1"/>
  <c r="W48" i="1"/>
  <c r="T48" i="1"/>
  <c r="X48" i="1" l="1"/>
  <c r="Y48" i="1" s="1"/>
  <c r="AB48" i="1" s="1"/>
  <c r="AH50" i="1"/>
  <c r="AH48" i="1"/>
  <c r="AE48" i="1"/>
  <c r="AE50" i="1"/>
  <c r="AH49" i="1"/>
  <c r="T97" i="1" l="1"/>
  <c r="T98" i="1"/>
  <c r="D38" i="12"/>
  <c r="D13" i="12" l="1"/>
  <c r="T84" i="1" l="1"/>
  <c r="T83" i="1"/>
  <c r="T82" i="1"/>
  <c r="T80" i="1"/>
  <c r="T78" i="1" l="1"/>
  <c r="T72" i="1"/>
  <c r="T71" i="1"/>
  <c r="T70" i="1"/>
  <c r="T69" i="1" l="1"/>
  <c r="T68" i="1"/>
  <c r="AA101" i="1" l="1"/>
  <c r="X101" i="1"/>
  <c r="Y101" i="1" s="1"/>
  <c r="AB101" i="1" s="1"/>
  <c r="W101" i="1"/>
  <c r="M101" i="1"/>
  <c r="AA100" i="1"/>
  <c r="X100" i="1"/>
  <c r="Y100" i="1" s="1"/>
  <c r="AB100" i="1" s="1"/>
  <c r="W100" i="1"/>
  <c r="M100" i="1"/>
  <c r="T65" i="1" l="1"/>
  <c r="T54" i="1" l="1"/>
  <c r="T53" i="1"/>
  <c r="T51" i="1"/>
  <c r="T206" i="1" s="1"/>
  <c r="D16" i="12" l="1"/>
  <c r="X38" i="1"/>
  <c r="Y38" i="1" s="1"/>
  <c r="X37" i="1"/>
  <c r="Y37" i="1" s="1"/>
  <c r="X36" i="1"/>
  <c r="Y36" i="1" s="1"/>
  <c r="X35" i="1"/>
  <c r="Y35" i="1" s="1"/>
  <c r="AB35" i="1" s="1"/>
  <c r="X34" i="1"/>
  <c r="Y34" i="1" s="1"/>
  <c r="AB34" i="1" s="1"/>
  <c r="X33" i="1"/>
  <c r="Y33" i="1" s="1"/>
  <c r="X32" i="1"/>
  <c r="Y32" i="1" s="1"/>
  <c r="AA29" i="1"/>
  <c r="X25" i="1"/>
  <c r="Y25" i="1" s="1"/>
  <c r="X24" i="1"/>
  <c r="Y24" i="1" s="1"/>
  <c r="C24" i="1"/>
  <c r="AA23" i="1"/>
  <c r="AH23" i="1" s="1"/>
  <c r="W23" i="1"/>
  <c r="X23" i="1"/>
  <c r="Y23" i="1" s="1"/>
  <c r="AB23" i="1" s="1"/>
  <c r="C23" i="1"/>
  <c r="C22" i="1"/>
  <c r="X22" i="1"/>
  <c r="W22" i="1"/>
  <c r="AA22" i="1"/>
  <c r="AE22" i="1" s="1"/>
  <c r="AA133" i="1"/>
  <c r="X133" i="1"/>
  <c r="Y133" i="1" s="1"/>
  <c r="AB133" i="1" s="1"/>
  <c r="W133" i="1"/>
  <c r="C133" i="1"/>
  <c r="C19" i="1"/>
  <c r="M8" i="1"/>
  <c r="M20" i="1"/>
  <c r="X27" i="1"/>
  <c r="X26" i="1"/>
  <c r="Y26" i="1" s="1"/>
  <c r="X20" i="1"/>
  <c r="Y20" i="1" s="1"/>
  <c r="AB20" i="1" s="1"/>
  <c r="X19" i="1"/>
  <c r="X8" i="1"/>
  <c r="Y8" i="1" s="1"/>
  <c r="X28" i="1"/>
  <c r="Y28" i="1" s="1"/>
  <c r="AB28" i="1" s="1"/>
  <c r="X39" i="1"/>
  <c r="Y39" i="1" s="1"/>
  <c r="AB39" i="1" s="1"/>
  <c r="X41" i="1"/>
  <c r="X42" i="1"/>
  <c r="Y42" i="1" s="1"/>
  <c r="X43" i="1"/>
  <c r="Y43" i="1" s="1"/>
  <c r="X44" i="1"/>
  <c r="X46" i="1"/>
  <c r="Y46" i="1" s="1"/>
  <c r="X47" i="1"/>
  <c r="X51" i="1"/>
  <c r="X52" i="1"/>
  <c r="Y52" i="1" s="1"/>
  <c r="X53" i="1"/>
  <c r="X54" i="1"/>
  <c r="X55" i="1"/>
  <c r="Y55" i="1" s="1"/>
  <c r="X56" i="1"/>
  <c r="Y56" i="1" s="1"/>
  <c r="X65" i="1"/>
  <c r="Y65" i="1" s="1"/>
  <c r="X67" i="1"/>
  <c r="Y67" i="1" s="1"/>
  <c r="X68" i="1"/>
  <c r="Y68" i="1" s="1"/>
  <c r="X69" i="1"/>
  <c r="Y69" i="1" s="1"/>
  <c r="X70" i="1"/>
  <c r="X71" i="1"/>
  <c r="Y71" i="1" s="1"/>
  <c r="X72" i="1"/>
  <c r="Y72" i="1" s="1"/>
  <c r="X73" i="1"/>
  <c r="Y73" i="1" s="1"/>
  <c r="X74" i="1"/>
  <c r="Y74" i="1" s="1"/>
  <c r="AB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AB83" i="1" s="1"/>
  <c r="X84" i="1"/>
  <c r="Y84" i="1" s="1"/>
  <c r="X85" i="1"/>
  <c r="Y85" i="1" s="1"/>
  <c r="AB85" i="1" s="1"/>
  <c r="X86" i="1"/>
  <c r="Y86" i="1" s="1"/>
  <c r="AB86" i="1" s="1"/>
  <c r="X87" i="1"/>
  <c r="Y87" i="1" s="1"/>
  <c r="AB87" i="1" s="1"/>
  <c r="X88" i="1"/>
  <c r="AG88" i="1" s="1"/>
  <c r="X97" i="1"/>
  <c r="Y97" i="1" s="1"/>
  <c r="X98" i="1"/>
  <c r="Y98" i="1" s="1"/>
  <c r="Y102" i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X126" i="1"/>
  <c r="X127" i="1"/>
  <c r="X128" i="1"/>
  <c r="Y128" i="1" s="1"/>
  <c r="X129" i="1"/>
  <c r="Y129" i="1" s="1"/>
  <c r="X130" i="1"/>
  <c r="Y130" i="1" s="1"/>
  <c r="X131" i="1"/>
  <c r="Y131" i="1" s="1"/>
  <c r="X132" i="1"/>
  <c r="Y132" i="1" s="1"/>
  <c r="X134" i="1"/>
  <c r="Y134" i="1" s="1"/>
  <c r="X135" i="1"/>
  <c r="Y135" i="1" s="1"/>
  <c r="X136" i="1"/>
  <c r="Y136" i="1" s="1"/>
  <c r="X137" i="1"/>
  <c r="Y137" i="1" s="1"/>
  <c r="X138" i="1"/>
  <c r="Y138" i="1" s="1"/>
  <c r="AB138" i="1" s="1"/>
  <c r="X139" i="1"/>
  <c r="Y139" i="1" s="1"/>
  <c r="X140" i="1"/>
  <c r="Y140" i="1" s="1"/>
  <c r="AB140" i="1" s="1"/>
  <c r="X141" i="1"/>
  <c r="Y141" i="1" s="1"/>
  <c r="AB141" i="1" s="1"/>
  <c r="X142" i="1"/>
  <c r="Y142" i="1" s="1"/>
  <c r="AB142" i="1" s="1"/>
  <c r="X143" i="1"/>
  <c r="Y143" i="1" s="1"/>
  <c r="AB143" i="1" s="1"/>
  <c r="X144" i="1"/>
  <c r="Y144" i="1" s="1"/>
  <c r="AB144" i="1" s="1"/>
  <c r="X145" i="1"/>
  <c r="Y145" i="1" s="1"/>
  <c r="AB145" i="1" s="1"/>
  <c r="X146" i="1"/>
  <c r="Y146" i="1" s="1"/>
  <c r="AB146" i="1" s="1"/>
  <c r="X147" i="1"/>
  <c r="Y147" i="1" s="1"/>
  <c r="AB147" i="1" s="1"/>
  <c r="X148" i="1"/>
  <c r="Y148" i="1" s="1"/>
  <c r="X149" i="1"/>
  <c r="Y149" i="1" s="1"/>
  <c r="AB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C20" i="1"/>
  <c r="C25" i="1"/>
  <c r="C27" i="1"/>
  <c r="C28" i="1"/>
  <c r="C29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6" i="1"/>
  <c r="C50" i="1"/>
  <c r="C51" i="1"/>
  <c r="C52" i="1"/>
  <c r="C53" i="1"/>
  <c r="C54" i="1"/>
  <c r="C55" i="1"/>
  <c r="C56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 s="1"/>
  <c r="C79" i="1"/>
  <c r="C80" i="1"/>
  <c r="C81" i="1"/>
  <c r="C82" i="1"/>
  <c r="C83" i="1"/>
  <c r="C84" i="1"/>
  <c r="C85" i="1"/>
  <c r="C86" i="1"/>
  <c r="C87" i="1"/>
  <c r="C88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30" i="1"/>
  <c r="C131" i="1"/>
  <c r="C132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AA8" i="1"/>
  <c r="AA19" i="1"/>
  <c r="AA20" i="1"/>
  <c r="AA24" i="1"/>
  <c r="AA25" i="1"/>
  <c r="AA26" i="1"/>
  <c r="AA27" i="1"/>
  <c r="AA28" i="1"/>
  <c r="AA32" i="1"/>
  <c r="AA33" i="1"/>
  <c r="AA34" i="1"/>
  <c r="AA35" i="1"/>
  <c r="AA36" i="1"/>
  <c r="AA37" i="1"/>
  <c r="AA38" i="1"/>
  <c r="AA39" i="1"/>
  <c r="AA41" i="1"/>
  <c r="AA42" i="1"/>
  <c r="AA43" i="1"/>
  <c r="AA44" i="1"/>
  <c r="AA47" i="1"/>
  <c r="AA51" i="1"/>
  <c r="AA52" i="1"/>
  <c r="AA53" i="1"/>
  <c r="AA54" i="1"/>
  <c r="AA55" i="1"/>
  <c r="AA56" i="1"/>
  <c r="AA65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H88" i="1" s="1"/>
  <c r="AA97" i="1"/>
  <c r="AA98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E113" i="1" s="1"/>
  <c r="D64" i="12" s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4" i="1"/>
  <c r="AA135" i="1"/>
  <c r="AA136" i="1"/>
  <c r="AA137" i="1"/>
  <c r="AA138" i="1"/>
  <c r="AA139" i="1"/>
  <c r="AA140" i="1"/>
  <c r="AA141" i="1"/>
  <c r="AE141" i="1" s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5" i="1"/>
  <c r="AA156" i="1"/>
  <c r="AA157" i="1"/>
  <c r="AA158" i="1"/>
  <c r="AA159" i="1"/>
  <c r="AA160" i="1"/>
  <c r="AA161" i="1"/>
  <c r="AA162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Y41" i="1" l="1"/>
  <c r="AB41" i="1" s="1"/>
  <c r="F170" i="12"/>
  <c r="Y127" i="1"/>
  <c r="D56" i="12"/>
  <c r="Y51" i="1"/>
  <c r="F48" i="12"/>
  <c r="Y22" i="1"/>
  <c r="AB22" i="1" s="1"/>
  <c r="D8" i="12"/>
  <c r="Y19" i="1"/>
  <c r="AB19" i="1" s="1"/>
  <c r="D7" i="12"/>
  <c r="Y54" i="1"/>
  <c r="AB54" i="1" s="1"/>
  <c r="F40" i="12"/>
  <c r="D44" i="12"/>
  <c r="D40" i="12" s="1"/>
  <c r="Y47" i="1"/>
  <c r="D175" i="12"/>
  <c r="D174" i="12" s="1"/>
  <c r="Y44" i="1"/>
  <c r="AB44" i="1" s="1"/>
  <c r="D172" i="12"/>
  <c r="S116" i="11"/>
  <c r="AH41" i="1"/>
  <c r="AH133" i="1"/>
  <c r="Y70" i="1"/>
  <c r="Y27" i="1"/>
  <c r="AB27" i="1" s="1"/>
  <c r="AG133" i="1"/>
  <c r="AG22" i="1"/>
  <c r="AG23" i="1"/>
  <c r="X29" i="1"/>
  <c r="Y29" i="1" s="1"/>
  <c r="Y88" i="1"/>
  <c r="AB88" i="1" s="1"/>
  <c r="Y53" i="1"/>
  <c r="AH22" i="1"/>
  <c r="AE23" i="1"/>
  <c r="AE133" i="1"/>
  <c r="W125" i="1"/>
  <c r="W126" i="1"/>
  <c r="D6" i="12" l="1"/>
  <c r="Y126" i="1"/>
  <c r="Y125" i="1"/>
  <c r="AB125" i="1" s="1"/>
  <c r="AG84" i="1"/>
  <c r="AB79" i="1"/>
  <c r="W79" i="1"/>
  <c r="M79" i="1"/>
  <c r="AB73" i="1" l="1"/>
  <c r="W73" i="1"/>
  <c r="AB71" i="1"/>
  <c r="W71" i="1"/>
  <c r="M71" i="1"/>
  <c r="AB70" i="1"/>
  <c r="W70" i="1"/>
  <c r="AB69" i="1"/>
  <c r="W69" i="1"/>
  <c r="AB68" i="1"/>
  <c r="W68" i="1"/>
  <c r="AB67" i="1"/>
  <c r="W67" i="1"/>
  <c r="AE65" i="1"/>
  <c r="W44" i="1"/>
  <c r="M44" i="1"/>
  <c r="M39" i="1"/>
  <c r="W35" i="1" l="1"/>
  <c r="W34" i="1"/>
  <c r="W28" i="1" l="1"/>
  <c r="W27" i="1"/>
  <c r="AB8" i="1"/>
  <c r="W8" i="1"/>
  <c r="AE76" i="1"/>
  <c r="AB25" i="1" l="1"/>
  <c r="AB24" i="1"/>
  <c r="W25" i="1"/>
  <c r="W24" i="1"/>
  <c r="AB137" i="1"/>
  <c r="W137" i="1"/>
  <c r="AE8" i="1" l="1"/>
  <c r="AH8" i="1"/>
  <c r="AG8" i="1"/>
  <c r="AH83" i="1"/>
  <c r="AG83" i="1"/>
  <c r="AG81" i="1"/>
  <c r="AG82" i="1"/>
  <c r="AB77" i="1"/>
  <c r="W77" i="1"/>
  <c r="M77" i="1"/>
  <c r="AB43" i="1"/>
  <c r="W43" i="1"/>
  <c r="M43" i="1"/>
  <c r="AE43" i="1"/>
  <c r="AB36" i="1" l="1"/>
  <c r="W36" i="1"/>
  <c r="W119" i="1" l="1"/>
  <c r="AE119" i="1"/>
  <c r="W118" i="1"/>
  <c r="AE118" i="1"/>
  <c r="AH118" i="1"/>
  <c r="AH119" i="1"/>
  <c r="M33" i="1"/>
  <c r="AB33" i="1"/>
  <c r="W33" i="1"/>
  <c r="AB26" i="1"/>
  <c r="W26" i="1"/>
  <c r="W20" i="1" l="1"/>
  <c r="AB119" i="1" l="1"/>
  <c r="AG119" i="1"/>
  <c r="W19" i="1"/>
  <c r="AB118" i="1" l="1"/>
  <c r="AG118" i="1"/>
  <c r="AH19" i="1"/>
  <c r="AH20" i="1"/>
  <c r="AG19" i="1"/>
  <c r="AE19" i="1"/>
  <c r="W42" i="1" l="1"/>
  <c r="AB42" i="1" l="1"/>
  <c r="W183" i="1"/>
  <c r="W182" i="1"/>
  <c r="AB183" i="1" l="1"/>
  <c r="AB182" i="1"/>
  <c r="W130" i="1" l="1"/>
  <c r="AB131" i="1"/>
  <c r="W131" i="1"/>
  <c r="AB130" i="1"/>
  <c r="AB124" i="1"/>
  <c r="W124" i="1"/>
  <c r="AB123" i="1"/>
  <c r="W123" i="1"/>
  <c r="AB122" i="1"/>
  <c r="W122" i="1"/>
  <c r="AB120" i="1"/>
  <c r="W120" i="1"/>
  <c r="AB117" i="1"/>
  <c r="W117" i="1"/>
  <c r="AE74" i="1"/>
  <c r="AE75" i="1"/>
  <c r="AB32" i="1" l="1"/>
  <c r="W32" i="1"/>
  <c r="AH24" i="1" l="1"/>
  <c r="AH25" i="1"/>
  <c r="AH26" i="1"/>
  <c r="AH27" i="1"/>
  <c r="AH28" i="1"/>
  <c r="AH29" i="1"/>
  <c r="AH31" i="1"/>
  <c r="AH32" i="1"/>
  <c r="AH33" i="1"/>
  <c r="AH34" i="1"/>
  <c r="AH35" i="1"/>
  <c r="W39" i="1"/>
  <c r="AE20" i="1"/>
  <c r="AG20" i="1"/>
  <c r="M54" i="1" l="1"/>
  <c r="AE54" i="1"/>
  <c r="AG54" i="1"/>
  <c r="W54" i="1"/>
  <c r="AH54" i="1" l="1"/>
  <c r="AB47" i="1" l="1"/>
  <c r="W47" i="1"/>
  <c r="AH43" i="1"/>
  <c r="AG43" i="1"/>
  <c r="AB37" i="1"/>
  <c r="W37" i="1"/>
  <c r="AE31" i="1" l="1"/>
  <c r="AB129" i="1" l="1"/>
  <c r="W129" i="1"/>
  <c r="AB128" i="1"/>
  <c r="W128" i="1"/>
  <c r="AB126" i="1"/>
  <c r="AB159" i="1" l="1"/>
  <c r="W159" i="1"/>
  <c r="AB158" i="1"/>
  <c r="W158" i="1"/>
  <c r="AB157" i="1"/>
  <c r="W157" i="1"/>
  <c r="AB156" i="1"/>
  <c r="W156" i="1"/>
  <c r="AB155" i="1"/>
  <c r="W155" i="1"/>
  <c r="AB154" i="1"/>
  <c r="W154" i="1"/>
  <c r="AB153" i="1"/>
  <c r="W153" i="1"/>
  <c r="AB152" i="1"/>
  <c r="W152" i="1"/>
  <c r="AB151" i="1"/>
  <c r="W151" i="1"/>
  <c r="AB150" i="1"/>
  <c r="W150" i="1"/>
  <c r="W149" i="1"/>
  <c r="AB148" i="1"/>
  <c r="W148" i="1"/>
  <c r="W147" i="1"/>
  <c r="W146" i="1"/>
  <c r="W145" i="1"/>
  <c r="W144" i="1"/>
  <c r="W143" i="1"/>
  <c r="W142" i="1"/>
  <c r="W141" i="1"/>
  <c r="W140" i="1"/>
  <c r="AB139" i="1"/>
  <c r="W139" i="1"/>
  <c r="W138" i="1"/>
  <c r="AB136" i="1"/>
  <c r="W136" i="1"/>
  <c r="AB132" i="1" l="1"/>
  <c r="W132" i="1"/>
  <c r="AE131" i="1"/>
  <c r="AG131" i="1"/>
  <c r="AH131" i="1"/>
  <c r="AE132" i="1"/>
  <c r="AH132" i="1"/>
  <c r="AB46" i="1"/>
  <c r="W46" i="1"/>
  <c r="M46" i="1"/>
  <c r="AG132" i="1" l="1"/>
  <c r="AB56" i="1"/>
  <c r="W56" i="1"/>
  <c r="M56" i="1"/>
  <c r="AB55" i="1" l="1"/>
  <c r="W55" i="1"/>
  <c r="AH129" i="1" l="1"/>
  <c r="AH130" i="1"/>
  <c r="AH134" i="1"/>
  <c r="AG129" i="1"/>
  <c r="AG130" i="1"/>
  <c r="AE129" i="1"/>
  <c r="AE130" i="1"/>
  <c r="AH123" i="1" l="1"/>
  <c r="AG123" i="1"/>
  <c r="AE123" i="1"/>
  <c r="M109" i="1" l="1"/>
  <c r="AB102" i="1"/>
  <c r="W102" i="1"/>
  <c r="M102" i="1"/>
  <c r="W82" i="1"/>
  <c r="W83" i="1"/>
  <c r="W84" i="1"/>
  <c r="W85" i="1"/>
  <c r="W86" i="1"/>
  <c r="W87" i="1"/>
  <c r="W88" i="1"/>
  <c r="M87" i="1"/>
  <c r="M88" i="1"/>
  <c r="M82" i="1"/>
  <c r="D179" i="12"/>
  <c r="AB84" i="1" l="1"/>
  <c r="AB82" i="1"/>
  <c r="AB81" i="1"/>
  <c r="W81" i="1"/>
  <c r="M81" i="1"/>
  <c r="AH72" i="1" l="1"/>
  <c r="AG72" i="1"/>
  <c r="AE72" i="1"/>
  <c r="AB72" i="1"/>
  <c r="W72" i="1"/>
  <c r="M110" i="1" l="1"/>
  <c r="W110" i="1"/>
  <c r="AG110" i="1"/>
  <c r="AE110" i="1"/>
  <c r="M111" i="1"/>
  <c r="W111" i="1"/>
  <c r="AB111" i="1"/>
  <c r="AE111" i="1"/>
  <c r="AG111" i="1"/>
  <c r="M112" i="1"/>
  <c r="W112" i="1"/>
  <c r="AB112" i="1"/>
  <c r="AE112" i="1"/>
  <c r="AH128" i="1"/>
  <c r="AG128" i="1"/>
  <c r="AE128" i="1"/>
  <c r="AH127" i="1"/>
  <c r="AE127" i="1"/>
  <c r="AB127" i="1"/>
  <c r="W127" i="1"/>
  <c r="AH126" i="1"/>
  <c r="AG126" i="1"/>
  <c r="AE126" i="1"/>
  <c r="AH125" i="1"/>
  <c r="AG125" i="1"/>
  <c r="AE125" i="1"/>
  <c r="AH110" i="1" l="1"/>
  <c r="AH112" i="1"/>
  <c r="AH111" i="1"/>
  <c r="AG127" i="1"/>
  <c r="AG112" i="1"/>
  <c r="AB110" i="1"/>
  <c r="AE28" i="10"/>
  <c r="AH124" i="1" l="1"/>
  <c r="AG124" i="1"/>
  <c r="AE124" i="1"/>
  <c r="AB106" i="1" l="1"/>
  <c r="W106" i="1"/>
  <c r="AB105" i="1" l="1"/>
  <c r="W105" i="1"/>
  <c r="AB104" i="1"/>
  <c r="W104" i="1"/>
  <c r="M104" i="1"/>
  <c r="AB97" i="1"/>
  <c r="W97" i="1"/>
  <c r="AB164" i="1" l="1"/>
  <c r="W164" i="1"/>
  <c r="AB163" i="1"/>
  <c r="W163" i="1"/>
  <c r="AE122" i="1" l="1"/>
  <c r="M97" i="1" l="1"/>
  <c r="AG73" i="1" l="1"/>
  <c r="AH84" i="1" l="1"/>
  <c r="AH85" i="1"/>
  <c r="AE77" i="1" l="1"/>
  <c r="AE78" i="1"/>
  <c r="M70" i="1"/>
  <c r="AH77" i="1" l="1"/>
  <c r="M74" i="1"/>
  <c r="W78" i="1"/>
  <c r="AB78" i="1" l="1"/>
  <c r="AG78" i="1"/>
  <c r="AG74" i="1"/>
  <c r="AH74" i="1"/>
  <c r="AH78" i="1"/>
  <c r="M69" i="1"/>
  <c r="M68" i="1" l="1"/>
  <c r="M120" i="11" l="1"/>
  <c r="W134" i="1"/>
  <c r="AB134" i="1" l="1"/>
  <c r="AE32" i="1" l="1"/>
  <c r="AB29" i="1"/>
  <c r="W29" i="1"/>
  <c r="AB161" i="1"/>
  <c r="W161" i="1"/>
  <c r="W169" i="1"/>
  <c r="AB169" i="1"/>
  <c r="AE169" i="1"/>
  <c r="AG169" i="1"/>
  <c r="AH169" i="1"/>
  <c r="W170" i="1"/>
  <c r="AB170" i="1"/>
  <c r="AE170" i="1"/>
  <c r="AH170" i="1"/>
  <c r="AG170" i="1" l="1"/>
  <c r="AG32" i="1"/>
  <c r="AG31" i="1"/>
  <c r="AB160" i="1"/>
  <c r="W160" i="1"/>
  <c r="AE155" i="1"/>
  <c r="AG155" i="1"/>
  <c r="AH155" i="1"/>
  <c r="AE156" i="1"/>
  <c r="AG156" i="1"/>
  <c r="AH156" i="1"/>
  <c r="AH153" i="1"/>
  <c r="AG153" i="1"/>
  <c r="AE153" i="1"/>
  <c r="AH152" i="1"/>
  <c r="AG152" i="1"/>
  <c r="AE152" i="1"/>
  <c r="AH154" i="1"/>
  <c r="AG154" i="1"/>
  <c r="AE154" i="1"/>
  <c r="AB98" i="1" l="1"/>
  <c r="W98" i="1"/>
  <c r="AH205" i="1" l="1"/>
  <c r="AG205" i="1"/>
  <c r="AE205" i="1"/>
  <c r="AB205" i="1"/>
  <c r="W205" i="1"/>
  <c r="AH79" i="1" l="1"/>
  <c r="AE81" i="1"/>
  <c r="AE82" i="1"/>
  <c r="D19" i="12"/>
  <c r="D21" i="12"/>
  <c r="D178" i="12" l="1"/>
  <c r="D155" i="12" l="1"/>
  <c r="D123" i="12"/>
  <c r="D124" i="12"/>
  <c r="D125" i="12"/>
  <c r="D77" i="12"/>
  <c r="D78" i="12"/>
  <c r="D79" i="12"/>
  <c r="D86" i="12"/>
  <c r="D75" i="12" s="1"/>
  <c r="D31" i="12"/>
  <c r="M55" i="1" l="1"/>
  <c r="M75" i="1"/>
  <c r="M76" i="1"/>
  <c r="M80" i="1"/>
  <c r="M98" i="1"/>
  <c r="M103" i="1"/>
  <c r="M106" i="1"/>
  <c r="M107" i="1"/>
  <c r="M108" i="1"/>
  <c r="M113" i="1"/>
  <c r="M190" i="1"/>
  <c r="M192" i="1"/>
  <c r="M193" i="1"/>
  <c r="M195" i="1"/>
  <c r="M196" i="1"/>
  <c r="M197" i="1"/>
  <c r="M198" i="1"/>
  <c r="M199" i="1"/>
  <c r="M200" i="1"/>
  <c r="M201" i="1"/>
  <c r="M202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E189" i="1"/>
  <c r="AE190" i="1"/>
  <c r="AE191" i="1"/>
  <c r="AE192" i="1"/>
  <c r="AE193" i="1"/>
  <c r="AE194" i="1"/>
  <c r="AE195" i="1"/>
  <c r="AE196" i="1"/>
  <c r="AE197" i="1"/>
  <c r="D84" i="12" s="1"/>
  <c r="D73" i="12" s="1"/>
  <c r="AE198" i="1"/>
  <c r="AE199" i="1"/>
  <c r="AE200" i="1"/>
  <c r="AE201" i="1"/>
  <c r="AE202" i="1"/>
  <c r="AE203" i="1"/>
  <c r="AE204" i="1"/>
  <c r="D132" i="12"/>
  <c r="D117" i="12" s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38" i="1"/>
  <c r="W41" i="1"/>
  <c r="W51" i="1"/>
  <c r="W52" i="1"/>
  <c r="W53" i="1"/>
  <c r="W65" i="1"/>
  <c r="W76" i="1"/>
  <c r="W80" i="1"/>
  <c r="W103" i="1"/>
  <c r="W107" i="1"/>
  <c r="W108" i="1"/>
  <c r="W109" i="1"/>
  <c r="W113" i="1"/>
  <c r="W114" i="1"/>
  <c r="W115" i="1"/>
  <c r="W116" i="1"/>
  <c r="W121" i="1"/>
  <c r="W135" i="1"/>
  <c r="W162" i="1"/>
  <c r="W165" i="1"/>
  <c r="W166" i="1"/>
  <c r="W167" i="1"/>
  <c r="W168" i="1"/>
  <c r="W171" i="1"/>
  <c r="W172" i="1"/>
  <c r="W173" i="1"/>
  <c r="W174" i="1"/>
  <c r="W175" i="1"/>
  <c r="W176" i="1"/>
  <c r="W177" i="1"/>
  <c r="W178" i="1"/>
  <c r="W179" i="1"/>
  <c r="W180" i="1"/>
  <c r="W181" i="1"/>
  <c r="W184" i="1"/>
  <c r="W185" i="1"/>
  <c r="W186" i="1"/>
  <c r="W187" i="1"/>
  <c r="W188" i="1"/>
  <c r="AG29" i="1"/>
  <c r="AG35" i="1"/>
  <c r="AG37" i="1"/>
  <c r="AB38" i="1"/>
  <c r="AB51" i="1"/>
  <c r="AB52" i="1"/>
  <c r="AB53" i="1"/>
  <c r="AG75" i="1"/>
  <c r="AH76" i="1"/>
  <c r="AG79" i="1"/>
  <c r="AH82" i="1"/>
  <c r="AG86" i="1"/>
  <c r="AB107" i="1"/>
  <c r="AB108" i="1"/>
  <c r="AB109" i="1"/>
  <c r="AB113" i="1"/>
  <c r="AB114" i="1"/>
  <c r="AG115" i="1"/>
  <c r="AB116" i="1"/>
  <c r="AG121" i="1"/>
  <c r="AH122" i="1"/>
  <c r="AB135" i="1"/>
  <c r="AB162" i="1"/>
  <c r="AB165" i="1"/>
  <c r="AB166" i="1"/>
  <c r="AB167" i="1"/>
  <c r="AB168" i="1"/>
  <c r="AB171" i="1"/>
  <c r="AB172" i="1"/>
  <c r="AB173" i="1"/>
  <c r="AB174" i="1"/>
  <c r="AB175" i="1"/>
  <c r="AB176" i="1"/>
  <c r="AB177" i="1"/>
  <c r="AB178" i="1"/>
  <c r="AB179" i="1"/>
  <c r="AB180" i="1"/>
  <c r="AB181" i="1"/>
  <c r="AB184" i="1"/>
  <c r="AB185" i="1"/>
  <c r="AB186" i="1"/>
  <c r="AB187" i="1"/>
  <c r="AB188" i="1"/>
  <c r="AH36" i="1"/>
  <c r="AH39" i="1"/>
  <c r="AH42" i="1"/>
  <c r="AH55" i="1"/>
  <c r="AH56" i="1"/>
  <c r="AH65" i="1"/>
  <c r="AH67" i="1"/>
  <c r="AH68" i="1"/>
  <c r="AH69" i="1"/>
  <c r="AH70" i="1"/>
  <c r="AH71" i="1"/>
  <c r="AH86" i="1"/>
  <c r="AH97" i="1"/>
  <c r="AH98" i="1"/>
  <c r="AH102" i="1"/>
  <c r="AH103" i="1"/>
  <c r="AH104" i="1"/>
  <c r="AH105" i="1"/>
  <c r="AH106" i="1"/>
  <c r="AH113" i="1"/>
  <c r="AH120" i="1"/>
  <c r="AH121" i="1"/>
  <c r="AH136" i="1"/>
  <c r="AH137" i="1"/>
  <c r="AH138" i="1"/>
  <c r="AH139" i="1"/>
  <c r="AH140" i="1"/>
  <c r="AH141" i="1"/>
  <c r="AH142" i="1"/>
  <c r="AH144" i="1"/>
  <c r="AH145" i="1"/>
  <c r="AH146" i="1"/>
  <c r="AH149" i="1"/>
  <c r="AH150" i="1"/>
  <c r="AH151" i="1"/>
  <c r="AH157" i="1"/>
  <c r="AH158" i="1"/>
  <c r="AH159" i="1"/>
  <c r="AH160" i="1"/>
  <c r="AH161" i="1"/>
  <c r="AH162" i="1"/>
  <c r="AH163" i="1"/>
  <c r="AH164" i="1"/>
  <c r="AH165" i="1"/>
  <c r="AH166" i="1"/>
  <c r="AH171" i="1"/>
  <c r="AH172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G24" i="1"/>
  <c r="AG27" i="1"/>
  <c r="AG28" i="1"/>
  <c r="AG33" i="1"/>
  <c r="AG34" i="1"/>
  <c r="AG51" i="1"/>
  <c r="AG52" i="1"/>
  <c r="AG53" i="1"/>
  <c r="AG56" i="1"/>
  <c r="AG134" i="1"/>
  <c r="AG143" i="1"/>
  <c r="AG144" i="1"/>
  <c r="AG145" i="1"/>
  <c r="AG146" i="1"/>
  <c r="AG147" i="1"/>
  <c r="AG150" i="1"/>
  <c r="AG151" i="1"/>
  <c r="AG157" i="1"/>
  <c r="AG158" i="1"/>
  <c r="AG159" i="1"/>
  <c r="AG160" i="1"/>
  <c r="AG161" i="1"/>
  <c r="AG168" i="1"/>
  <c r="AG171" i="1"/>
  <c r="AG173" i="1"/>
  <c r="AG174" i="1"/>
  <c r="AG182" i="1"/>
  <c r="AG183" i="1"/>
  <c r="AG184" i="1"/>
  <c r="AG185" i="1"/>
  <c r="AG186" i="1"/>
  <c r="AG187" i="1"/>
  <c r="AG188" i="1"/>
  <c r="D83" i="12"/>
  <c r="D72" i="12" s="1"/>
  <c r="D130" i="12"/>
  <c r="D115" i="12" s="1"/>
  <c r="D135" i="12"/>
  <c r="D120" i="12" s="1"/>
  <c r="AE24" i="1"/>
  <c r="AE25" i="1"/>
  <c r="AE26" i="1"/>
  <c r="AE27" i="1"/>
  <c r="AE28" i="1"/>
  <c r="AE29" i="1"/>
  <c r="AE33" i="1"/>
  <c r="AE34" i="1"/>
  <c r="AE35" i="1"/>
  <c r="AE36" i="1"/>
  <c r="AE37" i="1"/>
  <c r="AE38" i="1"/>
  <c r="AE39" i="1"/>
  <c r="AE41" i="1"/>
  <c r="AE42" i="1"/>
  <c r="AE44" i="1"/>
  <c r="AE46" i="1"/>
  <c r="AE47" i="1"/>
  <c r="AE51" i="1"/>
  <c r="AE52" i="1"/>
  <c r="AE53" i="1"/>
  <c r="AE55" i="1"/>
  <c r="AE56" i="1"/>
  <c r="AE67" i="1"/>
  <c r="AE68" i="1"/>
  <c r="AE69" i="1"/>
  <c r="AE70" i="1"/>
  <c r="AE71" i="1"/>
  <c r="AE73" i="1"/>
  <c r="AE79" i="1"/>
  <c r="AE80" i="1"/>
  <c r="AE83" i="1"/>
  <c r="AE84" i="1"/>
  <c r="AE85" i="1"/>
  <c r="AE86" i="1"/>
  <c r="AE87" i="1"/>
  <c r="AE88" i="1"/>
  <c r="AE97" i="1"/>
  <c r="AE98" i="1"/>
  <c r="AE100" i="1"/>
  <c r="AE101" i="1"/>
  <c r="AE102" i="1"/>
  <c r="AE103" i="1"/>
  <c r="AE104" i="1"/>
  <c r="AE105" i="1"/>
  <c r="AE106" i="1"/>
  <c r="AE107" i="1"/>
  <c r="AE108" i="1"/>
  <c r="AE109" i="1"/>
  <c r="AE114" i="1"/>
  <c r="AE115" i="1"/>
  <c r="AE116" i="1"/>
  <c r="AE117" i="1"/>
  <c r="AE120" i="1"/>
  <c r="AE121" i="1"/>
  <c r="AE134" i="1"/>
  <c r="AE135" i="1"/>
  <c r="AE136" i="1"/>
  <c r="AE137" i="1"/>
  <c r="AE138" i="1"/>
  <c r="AE139" i="1"/>
  <c r="AE140" i="1"/>
  <c r="AE142" i="1"/>
  <c r="AE143" i="1"/>
  <c r="AE144" i="1"/>
  <c r="AE145" i="1"/>
  <c r="AE146" i="1"/>
  <c r="AE147" i="1"/>
  <c r="AE148" i="1"/>
  <c r="AE149" i="1"/>
  <c r="AE150" i="1"/>
  <c r="AE151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D137" i="12" l="1"/>
  <c r="D122" i="12" s="1"/>
  <c r="D103" i="12"/>
  <c r="D95" i="12" s="1"/>
  <c r="D149" i="12"/>
  <c r="D133" i="12"/>
  <c r="D118" i="12" s="1"/>
  <c r="D85" i="12"/>
  <c r="D74" i="12" s="1"/>
  <c r="AE206" i="1"/>
  <c r="F36" i="12"/>
  <c r="AH108" i="1"/>
  <c r="AG80" i="1"/>
  <c r="AH80" i="1"/>
  <c r="AH101" i="1"/>
  <c r="AH114" i="1"/>
  <c r="AB115" i="1"/>
  <c r="AH109" i="1"/>
  <c r="AH107" i="1"/>
  <c r="AG181" i="1"/>
  <c r="AG177" i="1"/>
  <c r="AG176" i="1"/>
  <c r="AH173" i="1"/>
  <c r="AG180" i="1"/>
  <c r="AG172" i="1"/>
  <c r="AG178" i="1"/>
  <c r="AG179" i="1"/>
  <c r="AG175" i="1"/>
  <c r="AH168" i="1"/>
  <c r="AH167" i="1"/>
  <c r="AG162" i="1"/>
  <c r="D146" i="12"/>
  <c r="F142" i="12"/>
  <c r="D104" i="12"/>
  <c r="D96" i="12" s="1"/>
  <c r="D34" i="12"/>
  <c r="AG77" i="1"/>
  <c r="AB80" i="1"/>
  <c r="AB76" i="1"/>
  <c r="AG76" i="1"/>
  <c r="AH116" i="1"/>
  <c r="AH115" i="1"/>
  <c r="AH117" i="1"/>
  <c r="AG113" i="1"/>
  <c r="D134" i="12"/>
  <c r="D119" i="12" s="1"/>
  <c r="AB75" i="1"/>
  <c r="AH75" i="1"/>
  <c r="AG142" i="1"/>
  <c r="AG138" i="1"/>
  <c r="AG166" i="1"/>
  <c r="AH81" i="1"/>
  <c r="AH73" i="1"/>
  <c r="AH52" i="1"/>
  <c r="AG117" i="1"/>
  <c r="AG39" i="1"/>
  <c r="AH147" i="1"/>
  <c r="AH53" i="1"/>
  <c r="AG139" i="1"/>
  <c r="AH148" i="1"/>
  <c r="AG135" i="1"/>
  <c r="AG36" i="1"/>
  <c r="AG140" i="1"/>
  <c r="AG141" i="1"/>
  <c r="AG137" i="1"/>
  <c r="AG136" i="1"/>
  <c r="AB121" i="1"/>
  <c r="AG167" i="1"/>
  <c r="AG87" i="1"/>
  <c r="AG149" i="1"/>
  <c r="AG122" i="1"/>
  <c r="AG148" i="1"/>
  <c r="AG85" i="1"/>
  <c r="AG116" i="1"/>
  <c r="AG114" i="1"/>
  <c r="AH143" i="1"/>
  <c r="AH135" i="1"/>
  <c r="AG163" i="1"/>
  <c r="AG120" i="1"/>
  <c r="AG38" i="1"/>
  <c r="AG164" i="1"/>
  <c r="AG41" i="1"/>
  <c r="AG165" i="1"/>
  <c r="AH100" i="1"/>
  <c r="D168" i="12"/>
  <c r="AB103" i="1"/>
  <c r="D37" i="12"/>
  <c r="AG55" i="1"/>
  <c r="AG47" i="1"/>
  <c r="AG44" i="1"/>
  <c r="AG42" i="1"/>
  <c r="AG46" i="1"/>
  <c r="AB65" i="1"/>
  <c r="D156" i="12"/>
  <c r="D147" i="12" s="1"/>
  <c r="D129" i="12"/>
  <c r="D114" i="12" s="1"/>
  <c r="D157" i="12"/>
  <c r="D148" i="12" s="1"/>
  <c r="D128" i="12"/>
  <c r="D113" i="12" s="1"/>
  <c r="D105" i="12"/>
  <c r="D97" i="12" s="1"/>
  <c r="D82" i="12"/>
  <c r="D71" i="12" s="1"/>
  <c r="D87" i="12"/>
  <c r="D76" i="12" s="1"/>
  <c r="D106" i="12"/>
  <c r="D98" i="12" s="1"/>
  <c r="D61" i="12"/>
  <c r="D52" i="12" s="1"/>
  <c r="F110" i="12"/>
  <c r="D53" i="12"/>
  <c r="D136" i="12"/>
  <c r="D121" i="12" s="1"/>
  <c r="D131" i="12"/>
  <c r="D116" i="12" s="1"/>
  <c r="D171" i="12"/>
  <c r="D170" i="12" s="1"/>
  <c r="D162" i="12"/>
  <c r="D154" i="12"/>
  <c r="D145" i="12" s="1"/>
  <c r="D63" i="12"/>
  <c r="D32" i="12"/>
  <c r="D62" i="12"/>
  <c r="F92" i="12"/>
  <c r="D60" i="12"/>
  <c r="D51" i="12" s="1"/>
  <c r="F68" i="12"/>
  <c r="D33" i="12"/>
  <c r="F29" i="12"/>
  <c r="D29" i="12" l="1"/>
  <c r="D36" i="12"/>
  <c r="D50" i="12"/>
  <c r="D144" i="12"/>
  <c r="D102" i="12"/>
  <c r="D70" i="12"/>
  <c r="D94" i="12"/>
  <c r="D81" i="12"/>
  <c r="D127" i="12"/>
  <c r="D112" i="12"/>
  <c r="D153" i="12"/>
  <c r="D59" i="12"/>
  <c r="D48" i="12" l="1"/>
  <c r="D92" i="12"/>
  <c r="D68" i="12"/>
  <c r="D110" i="12"/>
  <c r="H110" i="12" s="1"/>
  <c r="D181" i="12"/>
  <c r="D142" i="12"/>
  <c r="H142" i="12" s="1"/>
  <c r="D164" i="12" l="1"/>
  <c r="AH47" i="1"/>
  <c r="AH46" i="1" l="1"/>
  <c r="AG108" i="1" l="1"/>
  <c r="AG103" i="1" l="1"/>
  <c r="AH37" i="1" l="1"/>
  <c r="AG25" i="1"/>
  <c r="AG26" i="1"/>
  <c r="AG109" i="1"/>
  <c r="AG107" i="1" l="1"/>
  <c r="AG106" i="1"/>
  <c r="AG105" i="1"/>
  <c r="AG104" i="1"/>
  <c r="AG102" i="1" l="1"/>
  <c r="AG101" i="1"/>
  <c r="AG100" i="1"/>
  <c r="AG98" i="1"/>
  <c r="AG97" i="1"/>
  <c r="AH87" i="1"/>
  <c r="AG71" i="1" l="1"/>
  <c r="AG70" i="1"/>
  <c r="AG69" i="1"/>
  <c r="AG68" i="1" l="1"/>
  <c r="AG67" i="1"/>
  <c r="AG65" i="1" l="1"/>
  <c r="H37" i="12"/>
  <c r="D17" i="12" s="1"/>
  <c r="D15" i="12" s="1"/>
  <c r="AH51" i="1"/>
  <c r="H38" i="12" l="1"/>
  <c r="D14" i="12" s="1"/>
  <c r="D12" i="12" s="1"/>
  <c r="D11" i="12" s="1"/>
  <c r="AH44" i="1"/>
  <c r="AH38" i="1"/>
  <c r="D24" i="12" l="1"/>
  <c r="D166" i="12" l="1"/>
  <c r="AE163" i="10"/>
  <c r="AE113" i="10"/>
  <c r="O2" i="10" l="1"/>
  <c r="T115" i="10"/>
  <c r="AH27" i="10"/>
  <c r="AG27" i="10"/>
  <c r="AH26" i="10"/>
  <c r="AG26" i="10"/>
  <c r="AH25" i="10"/>
  <c r="AG25" i="10"/>
  <c r="AH24" i="10"/>
  <c r="AG24" i="10"/>
  <c r="AH23" i="10"/>
  <c r="AG23" i="10"/>
  <c r="AH22" i="10"/>
  <c r="AG22" i="10"/>
  <c r="AH21" i="10"/>
  <c r="AG21" i="10"/>
  <c r="AH20" i="10"/>
  <c r="AG20" i="10"/>
  <c r="AH19" i="10"/>
  <c r="AG19" i="10"/>
  <c r="AH18" i="10"/>
  <c r="AG18" i="10"/>
  <c r="X206" i="1" l="1"/>
  <c r="AH206" i="1" l="1"/>
  <c r="H170" i="12" s="1"/>
  <c r="AG206" i="1" l="1"/>
  <c r="H36" i="12" s="1"/>
  <c r="AA120" i="11" l="1"/>
  <c r="Y206" i="1"/>
  <c r="N2" i="10" l="1"/>
  <c r="P2" i="10" s="1"/>
  <c r="F181" i="12"/>
</calcChain>
</file>

<file path=xl/sharedStrings.xml><?xml version="1.0" encoding="utf-8"?>
<sst xmlns="http://schemas.openxmlformats.org/spreadsheetml/2006/main" count="3342" uniqueCount="793">
  <si>
    <t>Ref.No.</t>
  </si>
  <si>
    <t>DATE ISSUED</t>
  </si>
  <si>
    <t>REPORT</t>
  </si>
  <si>
    <t>COMPANY</t>
  </si>
  <si>
    <t>ITEM</t>
  </si>
  <si>
    <t>CATEGORY</t>
  </si>
  <si>
    <t>TOTAL AMOUNT incl. VAT</t>
  </si>
  <si>
    <t>Date payed</t>
  </si>
  <si>
    <t>MONTH PAYED</t>
  </si>
  <si>
    <t>Total Payed incl. VAT (EURO)</t>
  </si>
  <si>
    <t>Balance (EURO)</t>
  </si>
  <si>
    <t>Payed buy</t>
  </si>
  <si>
    <t>BT</t>
  </si>
  <si>
    <t>RCC</t>
  </si>
  <si>
    <t>CASH</t>
  </si>
  <si>
    <t xml:space="preserve">EXPENSE OF </t>
  </si>
  <si>
    <t xml:space="preserve">TOTAL AMOUNT Incl. VAT (EURO) </t>
  </si>
  <si>
    <t>Comments</t>
  </si>
  <si>
    <t>REIMBURSE</t>
  </si>
  <si>
    <t>REIMBURSE FROM / PRORATE TO</t>
  </si>
  <si>
    <t xml:space="preserve"> Invoice No. of REIMBURMENT</t>
  </si>
  <si>
    <t>REIMBURSEMENT OF EXPENSES TO EMPLOYEES</t>
  </si>
  <si>
    <t>EXPENSES OF</t>
  </si>
  <si>
    <t>YORAM KEDEM</t>
  </si>
  <si>
    <t>SHARE HOLDER</t>
  </si>
  <si>
    <t xml:space="preserve"> PERSONAL EXPENSES PAID BY COMPANY</t>
  </si>
  <si>
    <t>Accounting for Travel expenses</t>
  </si>
  <si>
    <t>Accounting for expense reimbursment</t>
  </si>
  <si>
    <t>WHG</t>
  </si>
  <si>
    <t>CHECK 1</t>
  </si>
  <si>
    <t>CHECK 2</t>
  </si>
  <si>
    <t xml:space="preserve">TOTAL AMOUNT to Prorate/Reimburse (EURO) </t>
  </si>
  <si>
    <t>Total Amount paid (EURO) incl. VAT</t>
  </si>
  <si>
    <t>salaries</t>
  </si>
  <si>
    <t>PAYE</t>
  </si>
  <si>
    <t>SOCIAL INSURANCE</t>
  </si>
  <si>
    <r>
      <t xml:space="preserve">Inv. No: </t>
    </r>
    <r>
      <rPr>
        <u/>
        <sz val="14"/>
        <color theme="1"/>
        <rFont val="Century Gothic"/>
        <family val="1"/>
      </rPr>
      <t>2021/04/</t>
    </r>
  </si>
  <si>
    <r>
      <t xml:space="preserve">Inv. No: </t>
    </r>
    <r>
      <rPr>
        <u/>
        <sz val="14"/>
        <color theme="1"/>
        <rFont val="Century Gothic"/>
        <family val="1"/>
      </rPr>
      <t>2021/04/016</t>
    </r>
  </si>
  <si>
    <r>
      <t xml:space="preserve">Inv. No: </t>
    </r>
    <r>
      <rPr>
        <u/>
        <sz val="14"/>
        <color theme="1"/>
        <rFont val="Century Gothic"/>
        <family val="1"/>
      </rPr>
      <t>2021/04/017</t>
    </r>
  </si>
  <si>
    <t>RABONA</t>
  </si>
  <si>
    <t>AEGEAN</t>
  </si>
  <si>
    <t>TRAVELING ABROAD EXPENSES</t>
  </si>
  <si>
    <t>DD</t>
  </si>
  <si>
    <t>BOC</t>
  </si>
  <si>
    <t>…</t>
  </si>
  <si>
    <t>IT SERVICES</t>
  </si>
  <si>
    <t>RABONA HOLDINGS LTD.</t>
  </si>
  <si>
    <t>MONTHLY ACTUALS</t>
  </si>
  <si>
    <t>REVENUE</t>
  </si>
  <si>
    <t>OTHER</t>
  </si>
  <si>
    <t>INVESTMENT (SHARE HOLDER'S ACCOUNT)</t>
  </si>
  <si>
    <t>INVESTMENT (ESPARGOS)</t>
  </si>
  <si>
    <t>TOTAL REVENUE</t>
  </si>
  <si>
    <t>EXPENSES</t>
  </si>
  <si>
    <t>COST OF LABOR</t>
  </si>
  <si>
    <t>SALARY BK</t>
  </si>
  <si>
    <t>SALARY YK</t>
  </si>
  <si>
    <t>Social Insurance</t>
  </si>
  <si>
    <t>EXPENSES PAID CASH BK</t>
  </si>
  <si>
    <t>TAXES</t>
  </si>
  <si>
    <t>TRANSPORTATION</t>
  </si>
  <si>
    <t>ACCOMODATION</t>
  </si>
  <si>
    <t>ALLOWANCES</t>
  </si>
  <si>
    <t>OTHER (COVID TESTS AND SPECIAL PERMITS)</t>
  </si>
  <si>
    <t xml:space="preserve">TRAVELING ABROAD EXPENSES TO BE REIMBURSED </t>
  </si>
  <si>
    <t>PROFESIONAL SERVICES</t>
  </si>
  <si>
    <t>ACCOUNTING, AUDIT, COMPANY SECRITARY SERVICES</t>
  </si>
  <si>
    <t>SEVICES ON FF&amp;E</t>
  </si>
  <si>
    <t>LEGAL</t>
  </si>
  <si>
    <t>PRINTING</t>
  </si>
  <si>
    <t>PROFESIONAL SERVICES TO BE REIMBURSED</t>
  </si>
  <si>
    <t>FURNITURE AND EQUIPMENT</t>
  </si>
  <si>
    <t>FURNITURE &amp; EQUIPMENT</t>
  </si>
  <si>
    <t>FURNITURE &amp;FITTINGS OFFICE</t>
  </si>
  <si>
    <t>COMPUTERS AND TELEPHONES</t>
  </si>
  <si>
    <t>FURNITURE &amp;FITTINGS (MOCK UP)</t>
  </si>
  <si>
    <t>FURNITURE &amp; EQUIPMENT TO BE REIMBURSED</t>
  </si>
  <si>
    <t>OFFICE / GENERAL ADMINISTRATIVE</t>
  </si>
  <si>
    <t>GENERAL ADMINISTRATIVE</t>
  </si>
  <si>
    <t>OFFICE STATIONARY</t>
  </si>
  <si>
    <t>OFFICE SUPPLIES AND SUNDRIES</t>
  </si>
  <si>
    <t>COURIER AND POSTAL SERVICES</t>
  </si>
  <si>
    <t>TELEPHONE/INTERNET/MOBILE EXPENSES (CYTA)</t>
  </si>
  <si>
    <t>PENALTIES</t>
  </si>
  <si>
    <t>MAINTENANCE</t>
  </si>
  <si>
    <t>ENTERTAINMENT</t>
  </si>
  <si>
    <t>GIFTS</t>
  </si>
  <si>
    <t>MARKETING</t>
  </si>
  <si>
    <t>MSCL.</t>
  </si>
  <si>
    <t>GENERAL ADMINISTRATIVE TO BE REIMBURSED</t>
  </si>
  <si>
    <t>TRANSPORTATION EXPENSES</t>
  </si>
  <si>
    <t>INLAND TRANSPORTATION</t>
  </si>
  <si>
    <t>TAXI</t>
  </si>
  <si>
    <t>FUEL</t>
  </si>
  <si>
    <t>CAR PARK</t>
  </si>
  <si>
    <t>TRANSFERS TO CONNECTED ACCOUNTS (ESPARGOS)</t>
  </si>
  <si>
    <t>BANK CHARGES AND INTEREST</t>
  </si>
  <si>
    <t>ANNUAL LEVY TO THE ROCK</t>
  </si>
  <si>
    <t>TOTAL EXPENSES</t>
  </si>
  <si>
    <t>PROFIT</t>
  </si>
  <si>
    <t>SUBCATEGORY</t>
  </si>
  <si>
    <t>EXPENSE REIMBURSMENT TO EMPLOYEES</t>
  </si>
  <si>
    <t>DATE PAID</t>
  </si>
  <si>
    <t>BETIJA KEDEM</t>
  </si>
  <si>
    <t>EXPENSES PAID CASH YK</t>
  </si>
  <si>
    <t>CHECK LIST</t>
  </si>
  <si>
    <t>MONTH ISSUED</t>
  </si>
  <si>
    <t xml:space="preserve">TOTAL AMOUNT (EURO) </t>
  </si>
  <si>
    <t>TOTAL PAID (EURO)</t>
  </si>
  <si>
    <t>BALANCE (EURO)</t>
  </si>
  <si>
    <r>
      <t xml:space="preserve">EXPENSE OF            </t>
    </r>
    <r>
      <rPr>
        <sz val="12"/>
        <color theme="1" tint="0.499984740745262"/>
        <rFont val="Avenir Book"/>
        <family val="2"/>
      </rPr>
      <t>….</t>
    </r>
  </si>
  <si>
    <r>
      <t xml:space="preserve">COMMENTS                                                     </t>
    </r>
    <r>
      <rPr>
        <sz val="12"/>
        <color theme="1" tint="0.499984740745262"/>
        <rFont val="Avenir Book"/>
        <family val="2"/>
      </rPr>
      <t xml:space="preserve">….   </t>
    </r>
  </si>
  <si>
    <t>REIMBURSE FROM/             PRORATE TO</t>
  </si>
  <si>
    <t>SERVICES ON FF&amp;E</t>
  </si>
  <si>
    <t>REPRESENTATION/GIFTS</t>
  </si>
  <si>
    <t>TRAVEL EXPENSES</t>
  </si>
  <si>
    <t>(EXPENSES PAID IN CASH TO REFUND)</t>
  </si>
  <si>
    <t>REPRESENTATION ON VISITS</t>
  </si>
  <si>
    <t>COPUTER SOFTWARE/ WEBPAGE SUBSCRIPTIONS</t>
  </si>
  <si>
    <t>TRANSFERS TO SH A/C AND CASH WITHDRAWAL</t>
  </si>
  <si>
    <t>PAYMENTS MADE ON BEHALF OF SH</t>
  </si>
  <si>
    <t>PERSONAL EXPENSES OF SHARE HOLDER</t>
  </si>
  <si>
    <t>TOTAL EXPENSES TO BE REIMBURSED Fallowing Month</t>
  </si>
  <si>
    <t>MARKETING PURPOSES (HOSTING VISITS)</t>
  </si>
  <si>
    <t>GESI ON DIVIDENDS</t>
  </si>
  <si>
    <t>INCOME TAX</t>
  </si>
  <si>
    <t>PROVISIONAL TAX</t>
  </si>
  <si>
    <t>INLAND TRANSPORTATION TO BE REIMBURSED</t>
  </si>
  <si>
    <t>OTHER TRAVEL EXPENSES</t>
  </si>
  <si>
    <t>OPERATING REVENUE</t>
  </si>
  <si>
    <t>CYTA</t>
  </si>
  <si>
    <t>INSURANCE (DAVID SHIELD)</t>
  </si>
  <si>
    <t>AUTOTECHNICA CYPRUS LTD</t>
  </si>
  <si>
    <t xml:space="preserve"> </t>
  </si>
  <si>
    <t>TAXI ATHENS</t>
  </si>
  <si>
    <r>
      <t xml:space="preserve">Inv. No: </t>
    </r>
    <r>
      <rPr>
        <u/>
        <sz val="14"/>
        <rFont val="Century Gothic"/>
        <family val="1"/>
      </rPr>
      <t>2023/04/001</t>
    </r>
  </si>
  <si>
    <t>REPORT MARCH 31ST 2023</t>
  </si>
  <si>
    <t>MARKETING PURPOSES</t>
  </si>
  <si>
    <t>CAR PARKING</t>
  </si>
  <si>
    <t>INWARDS TRANSFER</t>
  </si>
  <si>
    <t>TRANSFER TO SHA</t>
  </si>
  <si>
    <t>A</t>
  </si>
  <si>
    <t>INWARDS/ OUTWARDS</t>
  </si>
  <si>
    <t>CURRENT A/C</t>
  </si>
  <si>
    <t>OUT</t>
  </si>
  <si>
    <t>IN</t>
  </si>
  <si>
    <t>EXPENSE OF</t>
  </si>
  <si>
    <t>INVOICE DATE</t>
  </si>
  <si>
    <r>
      <t xml:space="preserve">PAYMENT TYPE         </t>
    </r>
    <r>
      <rPr>
        <sz val="12"/>
        <color theme="1" tint="0.499984740745262"/>
        <rFont val="Avenir Book"/>
        <family val="2"/>
      </rPr>
      <t xml:space="preserve">….  </t>
    </r>
  </si>
  <si>
    <t xml:space="preserve"> INVOICE NUMBER </t>
  </si>
  <si>
    <t>EXPENSES PAID IN CASH BY</t>
  </si>
  <si>
    <t>AMOUNT</t>
  </si>
  <si>
    <t>REF. NO: MONTH PAID</t>
  </si>
  <si>
    <r>
      <t>REF. NO: MONTH RECEIVED</t>
    </r>
    <r>
      <rPr>
        <sz val="12"/>
        <color theme="1" tint="0.499984740745262"/>
        <rFont val="Avenir Book"/>
        <family val="2"/>
      </rPr>
      <t xml:space="preserve"> </t>
    </r>
  </si>
  <si>
    <t>ACCOUNT  PAID FROM</t>
  </si>
  <si>
    <t>STATUS</t>
  </si>
  <si>
    <t xml:space="preserve">MONTH </t>
  </si>
  <si>
    <t>AMOUNT PAID</t>
  </si>
  <si>
    <t>AMOUNT RECEIVED</t>
  </si>
  <si>
    <r>
      <t xml:space="preserve">DATE PAID / DATE RECEIVED   </t>
    </r>
    <r>
      <rPr>
        <sz val="12"/>
        <color theme="1" tint="0.499984740745262"/>
        <rFont val="Avenir Book"/>
        <family val="2"/>
      </rPr>
      <t>….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</si>
  <si>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</si>
  <si>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</si>
  <si>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</si>
  <si>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</si>
  <si>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</si>
  <si>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</si>
  <si>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</si>
  <si>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</si>
  <si>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</si>
  <si>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</si>
  <si>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</si>
  <si>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</si>
  <si>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</si>
  <si>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</si>
  <si>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</si>
  <si>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</si>
  <si>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</si>
  <si>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</si>
  <si>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</si>
  <si>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</si>
  <si>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</si>
  <si>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</si>
  <si>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</si>
  <si>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</si>
  <si>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</si>
  <si>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</si>
  <si>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</si>
  <si>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</si>
  <si>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</si>
  <si>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</si>
  <si>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</si>
  <si>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</si>
  <si>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</si>
  <si>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</si>
  <si>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</si>
  <si>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</si>
  <si>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</si>
  <si>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</si>
  <si>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</si>
  <si>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</si>
  <si>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</si>
  <si>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</si>
  <si>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</si>
  <si>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</si>
  <si>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</si>
  <si>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</si>
  <si>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</si>
  <si>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</si>
  <si>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</si>
  <si>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</si>
  <si>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</si>
  <si>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</si>
  <si>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</si>
  <si>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</si>
  <si>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</si>
  <si>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</si>
  <si>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</si>
  <si>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</si>
  <si>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</si>
  <si>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</si>
  <si>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</si>
  <si>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</si>
  <si>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</si>
  <si>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</si>
  <si>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</si>
  <si>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</si>
  <si>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</si>
  <si>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</si>
  <si>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</si>
  <si>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</si>
  <si>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</si>
  <si>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</si>
  <si>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</si>
  <si>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</si>
  <si>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</si>
  <si>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</si>
  <si>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</si>
  <si>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</si>
  <si>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</si>
  <si>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</si>
  <si>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</si>
  <si>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</si>
  <si>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</si>
  <si>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</si>
  <si>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</si>
  <si>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</si>
  <si>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</si>
  <si>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</si>
  <si>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</si>
  <si>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</si>
  <si>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</si>
  <si>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</si>
  <si>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</si>
  <si>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</si>
  <si>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</si>
  <si>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</si>
  <si>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</si>
  <si>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</si>
  <si>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</si>
  <si>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</si>
  <si>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</si>
  <si>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</si>
  <si>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</si>
  <si>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</si>
  <si>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</si>
  <si>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</si>
  <si>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</si>
  <si>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</si>
  <si>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</si>
  <si>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</si>
  <si>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</si>
  <si>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</si>
  <si>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</si>
  <si>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</si>
  <si>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</si>
  <si>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</si>
  <si>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</si>
  <si>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</si>
  <si>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</si>
  <si>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</si>
  <si>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</si>
  <si>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</si>
  <si>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</si>
  <si>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</si>
  <si>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</si>
  <si>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</si>
  <si>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</si>
  <si>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</si>
  <si>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</si>
  <si>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</si>
  <si>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</si>
  <si>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</si>
  <si>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</si>
  <si>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</si>
  <si>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</si>
  <si>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</si>
  <si>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</si>
  <si>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</si>
  <si>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</si>
  <si>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</si>
  <si>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</si>
  <si>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</si>
  <si>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</si>
  <si>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</si>
  <si>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</si>
  <si>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</si>
  <si>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</si>
  <si>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</si>
  <si>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</si>
  <si>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</si>
  <si>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</si>
  <si>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</si>
  <si>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</si>
  <si>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</si>
  <si>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</si>
  <si>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</si>
  <si>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</si>
  <si>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</si>
  <si>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</si>
  <si>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</si>
  <si>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</si>
  <si>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</si>
  <si>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</si>
  <si>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</si>
  <si>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</si>
  <si>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</si>
  <si>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</si>
  <si>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</si>
  <si>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</si>
  <si>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</si>
  <si>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</si>
  <si>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</si>
  <si>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</si>
  <si>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</si>
  <si>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</si>
  <si>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</si>
  <si>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</si>
  <si>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</si>
  <si>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</si>
  <si>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</si>
  <si>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</si>
  <si>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</si>
  <si>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</si>
  <si>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</si>
  <si>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</si>
  <si>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</si>
  <si>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</si>
  <si>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</si>
  <si>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</si>
  <si>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</si>
  <si>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REF. NO. MONTH PAID</t>
  </si>
  <si>
    <t>INWARDS TRANSFER REFERENCE</t>
  </si>
  <si>
    <t>ATHENS SIX STAR TOURS</t>
  </si>
  <si>
    <t>URBAN CITY</t>
  </si>
  <si>
    <t xml:space="preserve">BANK TRANSFERS/CASH DEPOSITS (YK) </t>
  </si>
  <si>
    <t>EXPENSES PAID IN CASH BY S/H (YK)</t>
  </si>
  <si>
    <t xml:space="preserve">BANK TRANSFERS/CASH DEPOSITS (BK) </t>
  </si>
  <si>
    <t>EXPENSES PAID IN CASH BY S/H (BK)</t>
  </si>
  <si>
    <t>INVESTMENT (YK SHARE HOLDER'S A/C)</t>
  </si>
  <si>
    <t>INVESTMENT (BK SHARE HOLDER'S A/C)</t>
  </si>
  <si>
    <t>ELDAN</t>
  </si>
  <si>
    <t>OTHER (VAT RETURNS)(REFUNDS)</t>
  </si>
  <si>
    <t>EL AL</t>
  </si>
  <si>
    <t>D</t>
  </si>
  <si>
    <t>CAR LEASE FEBRUARY 2024</t>
  </si>
  <si>
    <t>CAR LEASE MARCH 2024</t>
  </si>
  <si>
    <t>TRAVEL BONUS</t>
  </si>
  <si>
    <t>FLIGHT LCA-TLV-LCA ( BETIJA KEDEM)                           16FEBRUARY</t>
  </si>
  <si>
    <t>FLIGHT LCA-TLV-LCA (YORAM KEDEM AND BETIJA KEDEM)              11JANUARY</t>
  </si>
  <si>
    <t>PAPADOPOULOUS</t>
  </si>
  <si>
    <t>LAWYERS FEE</t>
  </si>
  <si>
    <t>PARDOX NEXT IKE</t>
  </si>
  <si>
    <t>BASIC PACKAGE</t>
  </si>
  <si>
    <t>DATA4U</t>
  </si>
  <si>
    <t>TECHNICAL SERVICES</t>
  </si>
  <si>
    <t>MICROSOFT 365 NOV 2023</t>
  </si>
  <si>
    <t>MICROSOFT 365 FEB 2024</t>
  </si>
  <si>
    <t>MICROSOFT 365 JUN 2023</t>
  </si>
  <si>
    <t>MICROSOFT 365 AUG 2023</t>
  </si>
  <si>
    <t>MICROSOFT 365 DEC 2023</t>
  </si>
  <si>
    <t>CASH PAYMENTS</t>
  </si>
  <si>
    <t>BOLT MCDONALDS</t>
  </si>
  <si>
    <t>COMPLETED</t>
  </si>
  <si>
    <t xml:space="preserve">REF. NO. </t>
  </si>
  <si>
    <t>Total Amount paid (EURO)     incl. VAT</t>
  </si>
  <si>
    <t xml:space="preserve">TOTAL AMOUNT to Reimburse (EURO) </t>
  </si>
  <si>
    <t>* Only 50% of the amount is to be reimburesed for flights to and from Israel</t>
  </si>
  <si>
    <t>** Flights that are paid in current month but take place in fallowing month will be reimbured after the flight took place</t>
  </si>
  <si>
    <t>REPORT FEBRUARY 29TH 2024</t>
  </si>
  <si>
    <t>GRAND TOTAL</t>
  </si>
  <si>
    <t>EXPENSE OF RABONA</t>
  </si>
  <si>
    <t xml:space="preserve">GRAND TOTAL     </t>
  </si>
  <si>
    <t>Date issued</t>
  </si>
  <si>
    <t>Invoice Number</t>
  </si>
  <si>
    <t>REF. NO:</t>
  </si>
  <si>
    <t xml:space="preserve">TOTAL  paid on behalf of Share Holder / transferred to Share Holders a/c (Yoram Kedem)                    </t>
  </si>
  <si>
    <r>
      <t>REF. NO: MONTH RECEIVED</t>
    </r>
    <r>
      <rPr>
        <sz val="12"/>
        <color theme="1" tint="0.499984740745262"/>
        <rFont val="Calibri Light"/>
        <family val="2"/>
        <scheme val="major"/>
      </rPr>
      <t xml:space="preserve"> </t>
    </r>
  </si>
  <si>
    <r>
      <t>23/3/</t>
    </r>
    <r>
      <rPr>
        <b/>
        <sz val="12"/>
        <color theme="1"/>
        <rFont val="Calibri Light"/>
        <family val="2"/>
        <scheme val="major"/>
      </rPr>
      <t>66</t>
    </r>
    <r>
      <rPr>
        <sz val="12"/>
        <color theme="1"/>
        <rFont val="Calibri"/>
        <family val="2"/>
        <scheme val="minor"/>
      </rPr>
      <t/>
    </r>
  </si>
  <si>
    <t>Ref.No:  Expense reimb.</t>
  </si>
  <si>
    <t>Ref.No: Inwards Transf.</t>
  </si>
  <si>
    <t>Ref.No: Travel exp.</t>
  </si>
  <si>
    <t>Document / Transfer date</t>
  </si>
  <si>
    <t xml:space="preserve">TOTAL EXPENSE REIMBURSMENT TO SHAREHOLDER (YORAM KEDEM)      </t>
  </si>
  <si>
    <t xml:space="preserve">TOTAL amount INWARDS TRANSFERS from Share Holder (Yoram Kedem)      </t>
  </si>
  <si>
    <t xml:space="preserve">TOTAL amount paid by Share Holder (Yoram Kedem)    </t>
  </si>
  <si>
    <t xml:space="preserve">REF. NO: Salaries               ….              </t>
  </si>
  <si>
    <t>DATE PAID / DATE RECEIVED   ….</t>
  </si>
  <si>
    <t xml:space="preserve">PAYMENT TYPE         ….  </t>
  </si>
  <si>
    <t>EXPENSE OF            ….</t>
  </si>
  <si>
    <t>TOTAL AMOUNT  (foreign curancy) Incl.VAT</t>
  </si>
  <si>
    <t>TOTAL AMOUNT (EURO)     Incl.VAT</t>
  </si>
  <si>
    <t xml:space="preserve">COMMENTS                                                     </t>
  </si>
  <si>
    <t xml:space="preserve">TOTAL amount paid by Share Holder (Betija Kedem)    </t>
  </si>
  <si>
    <t xml:space="preserve">TOTAL amount INWARDS TRANSFERS from Share Holder (Betija Kedem)      </t>
  </si>
  <si>
    <t xml:space="preserve">TOTAL  paid on behalf of Share Holder / transferred to Share Holders a/c (Betija Kedem)    </t>
  </si>
  <si>
    <t xml:space="preserve">TOTAL EXPENSE REIMBURSMENT TO SHAREHOLDER (BETIJA KEDEM)      </t>
  </si>
  <si>
    <t>TOTAL AMOUNT foreign currency</t>
  </si>
  <si>
    <t>REF. NO: Travel exp.</t>
  </si>
  <si>
    <t>REF. NO:  Exp. Reimb.</t>
  </si>
  <si>
    <r>
      <t xml:space="preserve">REF. NO: Salaries               </t>
    </r>
    <r>
      <rPr>
        <sz val="12"/>
        <color theme="1" tint="0.499984740745262"/>
        <rFont val="Avenir Book"/>
        <family val="2"/>
      </rPr>
      <t xml:space="preserve">           </t>
    </r>
  </si>
  <si>
    <t>E</t>
  </si>
  <si>
    <t>F</t>
  </si>
  <si>
    <t>INWARDS TRANSFER FROM SHA (YORAM KEDEM)</t>
  </si>
  <si>
    <t>INVESTMENT FROM SHARE HOLDER</t>
  </si>
  <si>
    <t>G</t>
  </si>
  <si>
    <t>H</t>
  </si>
  <si>
    <t>I</t>
  </si>
  <si>
    <t>PHONE BILL FEBRUARY 2024</t>
  </si>
  <si>
    <t>CAR RENT IL</t>
  </si>
  <si>
    <t>PERSONAL EXPENSE OF SH</t>
  </si>
  <si>
    <t>MARCH EXPENSES TO BE REIBURSED IN MAY</t>
  </si>
  <si>
    <t>24/5/</t>
  </si>
  <si>
    <t>INWARDS TRANSFER INV. NO: 2024/05/001</t>
  </si>
  <si>
    <t>CONSULTING SERVICES for project BLUE LAGOON MAY 2024</t>
  </si>
  <si>
    <t>B</t>
  </si>
  <si>
    <t>C</t>
  </si>
  <si>
    <r>
      <t xml:space="preserve">REFUND RECEIVED IN RELATION TO REF NO: </t>
    </r>
    <r>
      <rPr>
        <b/>
        <sz val="12"/>
        <color rgb="FF000000"/>
        <rFont val="Avenir Book"/>
        <family val="2"/>
      </rPr>
      <t>24/2/23 SHA</t>
    </r>
  </si>
  <si>
    <t>O</t>
  </si>
  <si>
    <t>T5/1</t>
  </si>
  <si>
    <t>R</t>
  </si>
  <si>
    <t>S</t>
  </si>
  <si>
    <t>V</t>
  </si>
  <si>
    <t>W</t>
  </si>
  <si>
    <t>COLUMBIA BEACH</t>
  </si>
  <si>
    <t>CELLSAN</t>
  </si>
  <si>
    <t>GINZA</t>
  </si>
  <si>
    <t>MASTER CARD A/C</t>
  </si>
  <si>
    <t>RMC</t>
  </si>
  <si>
    <t>BOLT ALION</t>
  </si>
  <si>
    <t>BOLT TOY CONFECTIONARY</t>
  </si>
  <si>
    <t>ALPHA MEGA</t>
  </si>
  <si>
    <t>ESSO</t>
  </si>
  <si>
    <t>STIRNU BUKS</t>
  </si>
  <si>
    <t>DUTY FREE</t>
  </si>
  <si>
    <t>A.Y.K. CO LTD</t>
  </si>
  <si>
    <t>DRINKING WATER FIX</t>
  </si>
  <si>
    <t>DERMADINO LTD</t>
  </si>
  <si>
    <t>MIELE</t>
  </si>
  <si>
    <t>COFFEE MASHINE FILTERS</t>
  </si>
  <si>
    <t>T5/15</t>
  </si>
  <si>
    <t>KAITEN SUSHI</t>
  </si>
  <si>
    <t>T5/16</t>
  </si>
  <si>
    <t>ITOYA</t>
  </si>
  <si>
    <t>SYMBOLIC GIFT ON SIGNING</t>
  </si>
  <si>
    <t>HULIC</t>
  </si>
  <si>
    <t>T5/17</t>
  </si>
  <si>
    <t>T5/18</t>
  </si>
  <si>
    <t>LA PANZA</t>
  </si>
  <si>
    <t>EMIT FISHBAR</t>
  </si>
  <si>
    <t>T5/19</t>
  </si>
  <si>
    <t>T5/20</t>
  </si>
  <si>
    <t>HANAMARU NEMURO</t>
  </si>
  <si>
    <t>T5/21</t>
  </si>
  <si>
    <t>DINING BAR W</t>
  </si>
  <si>
    <t>STARBACKS</t>
  </si>
  <si>
    <t>T5/22</t>
  </si>
  <si>
    <t>T5/23</t>
  </si>
  <si>
    <t>CUCINA ITALIANA</t>
  </si>
  <si>
    <t>KANI GORAKU</t>
  </si>
  <si>
    <t>T5/24</t>
  </si>
  <si>
    <t>NEW JAPAN TOURIST CO. LTD</t>
  </si>
  <si>
    <t>TAXI JAPAN</t>
  </si>
  <si>
    <t>T5/25</t>
  </si>
  <si>
    <t>GYUKATSUMOTOMURA</t>
  </si>
  <si>
    <t>T5/26</t>
  </si>
  <si>
    <t>MATSUWAZA</t>
  </si>
  <si>
    <t>T5/27</t>
  </si>
  <si>
    <t>SHAKESHACK</t>
  </si>
  <si>
    <t>T5/28</t>
  </si>
  <si>
    <t>GONG CHA</t>
  </si>
  <si>
    <t>T5/29</t>
  </si>
  <si>
    <t>T5/30</t>
  </si>
  <si>
    <t>T5/31</t>
  </si>
  <si>
    <t>T5/32</t>
  </si>
  <si>
    <t>T5/33</t>
  </si>
  <si>
    <t>T5/34</t>
  </si>
  <si>
    <t>T5/35</t>
  </si>
  <si>
    <t>T5/36</t>
  </si>
  <si>
    <t>T5/37</t>
  </si>
  <si>
    <t>ATARIZZA</t>
  </si>
  <si>
    <t>GODIVA</t>
  </si>
  <si>
    <t>ANA AIRLINES</t>
  </si>
  <si>
    <t>INTERNET ON BOARD (YK)</t>
  </si>
  <si>
    <t>INTERNET ON BOARD (BK)</t>
  </si>
  <si>
    <t>UBER</t>
  </si>
  <si>
    <t>T5/38</t>
  </si>
  <si>
    <t>T5/39</t>
  </si>
  <si>
    <t>T5/40</t>
  </si>
  <si>
    <t>T5/41</t>
  </si>
  <si>
    <t>T5/42</t>
  </si>
  <si>
    <t>T5/43</t>
  </si>
  <si>
    <t>T5/44</t>
  </si>
  <si>
    <t>T5/45</t>
  </si>
  <si>
    <t>T5/46</t>
  </si>
  <si>
    <t>INDIGO HOTEL</t>
  </si>
  <si>
    <t>ACCOMMODATION</t>
  </si>
  <si>
    <t>W OSAKA</t>
  </si>
  <si>
    <t>SHIMIZU YUZEN</t>
  </si>
  <si>
    <t>T5/48</t>
  </si>
  <si>
    <t>GR WOLT MAILO'S</t>
  </si>
  <si>
    <t>BOLT TGI FRIDAYS</t>
  </si>
  <si>
    <t>NIKE GINZA</t>
  </si>
  <si>
    <t>LAWSON</t>
  </si>
  <si>
    <t>LE CROBAG FFM</t>
  </si>
  <si>
    <t>ORYOURI MASITA</t>
  </si>
  <si>
    <t>VIATORI IT</t>
  </si>
  <si>
    <t>MANTA RAY GRC</t>
  </si>
  <si>
    <t>MISSING INVOICE/RECEIPT</t>
  </si>
  <si>
    <t>EXPENSE REPORT MAY 31ST, 2024</t>
  </si>
  <si>
    <r>
      <t xml:space="preserve">INWARDS TRANSFER FROM </t>
    </r>
    <r>
      <rPr>
        <b/>
        <sz val="12"/>
        <color rgb="FF000000"/>
        <rFont val="Avenir Book"/>
        <family val="2"/>
      </rPr>
      <t>SHA (YORAM KEDEM)</t>
    </r>
  </si>
  <si>
    <t>MOVEMENT FROM CURRENT A/C TO MASTER CARD A/C</t>
  </si>
  <si>
    <t>MOVEMENT FROM MASTER CARD A/C TO CURRENT A/C</t>
  </si>
  <si>
    <r>
      <t xml:space="preserve">INWARDS TRANSFER FROM </t>
    </r>
    <r>
      <rPr>
        <b/>
        <sz val="12"/>
        <color theme="1"/>
        <rFont val="Avenir Book"/>
        <family val="2"/>
      </rPr>
      <t>BTS REAL ESTATE</t>
    </r>
    <r>
      <rPr>
        <sz val="12"/>
        <color theme="1"/>
        <rFont val="Avenir Book"/>
        <family val="2"/>
      </rPr>
      <t xml:space="preserve"> INV. NO: 2024/07/002</t>
    </r>
  </si>
  <si>
    <t>CONSULTING SERVICES for project BLUE LAGOON JULY 2024</t>
  </si>
  <si>
    <r>
      <t xml:space="preserve">INWARDS TRANSFER FROM </t>
    </r>
    <r>
      <rPr>
        <b/>
        <sz val="12"/>
        <color theme="1"/>
        <rFont val="Avenir Book"/>
        <family val="2"/>
      </rPr>
      <t>EVIMER</t>
    </r>
    <r>
      <rPr>
        <sz val="12"/>
        <color theme="1"/>
        <rFont val="Avenir Book"/>
        <family val="2"/>
      </rPr>
      <t xml:space="preserve">  INV. NO: 2024/06/001</t>
    </r>
  </si>
  <si>
    <t>CONSULTING SERVICES for project URBAN CITY  EXPENSE REIMBURSMENT APRIL, JUNE, JULY 2024</t>
  </si>
  <si>
    <t>TRANSFER FROM RABONA CURRENT A/S TO RABONA MASTER CARD A/C</t>
  </si>
  <si>
    <t xml:space="preserve">EXPENSE REIMBURSMENT for project URBAN CITY </t>
  </si>
  <si>
    <t>NOVEMBER EXPENSES TO BE REIBURSED IN DECEMBER</t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</si>
  <si>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2024/12/001</t>
    </r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</si>
  <si>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2024/12/002</t>
    </r>
  </si>
  <si>
    <t>CONSULTING SERVICES for project URBAN CITY DECEMBER 2024</t>
  </si>
  <si>
    <t xml:space="preserve">CASH </t>
  </si>
  <si>
    <t xml:space="preserve">                                                                 </t>
  </si>
  <si>
    <t>J</t>
  </si>
  <si>
    <t>K</t>
  </si>
  <si>
    <t>L</t>
  </si>
  <si>
    <t>M</t>
  </si>
  <si>
    <t>ESPARGOS</t>
  </si>
  <si>
    <t>PARTNER 5G</t>
  </si>
  <si>
    <t>GR WOLT MIGADA</t>
  </si>
  <si>
    <t>POUKAKIS NICOLAS</t>
  </si>
  <si>
    <t>MARRIOTT</t>
  </si>
  <si>
    <t>ACCOMODATION GR</t>
  </si>
  <si>
    <t>RINASCITA TOURISTIKI A.E.</t>
  </si>
  <si>
    <t>REFUND RECEIVED (flight ATH-TLV-ATH 7QAIVL)</t>
  </si>
  <si>
    <t>MOBILE INTERNET IL</t>
  </si>
  <si>
    <r>
      <t xml:space="preserve">INWARDS TRANSFER FROM </t>
    </r>
    <r>
      <rPr>
        <b/>
        <sz val="12"/>
        <color theme="1"/>
        <rFont val="Avenir Book"/>
        <family val="2"/>
      </rPr>
      <t>BTS REAL ESTATE</t>
    </r>
    <r>
      <rPr>
        <sz val="12"/>
        <color theme="1"/>
        <rFont val="Avenir Book"/>
        <family val="2"/>
      </rPr>
      <t xml:space="preserve"> INV. NO: 2025/04/003 and 2025/04/004</t>
    </r>
  </si>
  <si>
    <t>project BLUE LAGOON FIXED EXPENSES APRIL FEES AND FIXED EXPENSES 2025</t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</si>
  <si>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2025/04/002</t>
    </r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</si>
  <si>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2025/04/001</t>
    </r>
  </si>
  <si>
    <t>CONSULTING SERVICES for project URBAN CITY APRIL 2025</t>
  </si>
  <si>
    <t xml:space="preserve">EXPENSE REIMBURSMENT (MARCH EXP REPORT) for project URBAN CITY </t>
  </si>
  <si>
    <r>
      <t xml:space="preserve">INWARDS TRANSFER FROM </t>
    </r>
    <r>
      <rPr>
        <b/>
        <sz val="12"/>
        <color rgb="FF000000"/>
        <rFont val="Avenir Book"/>
        <family val="2"/>
      </rPr>
      <t>OZ SHLOMI SINGLE MEMBER S.A</t>
    </r>
    <r>
      <rPr>
        <sz val="12"/>
        <color rgb="FF000000"/>
        <rFont val="Avenir Book"/>
        <family val="2"/>
      </rPr>
      <t xml:space="preserve">.INV. NO: 2025/04/005 </t>
    </r>
  </si>
  <si>
    <t>CONSULTING SERVICES for project GREEN FIELD HOTEL APRIL FEE 2025</t>
  </si>
  <si>
    <t>CONSULTING SERVICES for project KYPSELI APRIL FEE 2025</t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</si>
  <si>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2025/05/005</t>
    </r>
  </si>
  <si>
    <t xml:space="preserve">EXPENSE REIMBURSMENT (APRIL EXP REPORT) for project URBAN CITY </t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</si>
  <si>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2025/05/004</t>
    </r>
  </si>
  <si>
    <t>CONSULTING SERVICES for project URBAN CITY MAY 2025</t>
  </si>
  <si>
    <r>
      <t xml:space="preserve">INWARDS TRANSFER FROM </t>
    </r>
    <r>
      <rPr>
        <b/>
        <sz val="12"/>
        <color theme="1"/>
        <rFont val="Avenir Book"/>
        <family val="2"/>
      </rPr>
      <t>BTS REAL ESTATE</t>
    </r>
    <r>
      <rPr>
        <sz val="12"/>
        <color theme="1"/>
        <rFont val="Avenir Book"/>
        <family val="2"/>
      </rPr>
      <t xml:space="preserve"> INV. NO: 2025/05/002 and 2025/05/003</t>
    </r>
  </si>
  <si>
    <t>project BLUE LAGOON FIXED EXPENSES MAY FEES AND FIXED EXPENSES 2025</t>
  </si>
  <si>
    <t>CONSULTING SERVICES for project KYPSELI MAY FEE 2025</t>
  </si>
  <si>
    <r>
      <t>INWARDS TRANSFER FROM</t>
    </r>
    <r>
      <rPr>
        <b/>
        <sz val="12"/>
        <color rgb="FF000000"/>
        <rFont val="Avenir Book"/>
        <family val="2"/>
      </rPr>
      <t xml:space="preserve"> SUNDAY LIFESTILE SLU</t>
    </r>
    <r>
      <rPr>
        <sz val="12"/>
        <color theme="1"/>
        <rFont val="Avenir Book"/>
        <family val="2"/>
      </rPr>
      <t xml:space="preserve"> INV NO 2025/05/007</t>
    </r>
  </si>
  <si>
    <r>
      <t>INWARDS TRANSFER FROM</t>
    </r>
    <r>
      <rPr>
        <b/>
        <sz val="12"/>
        <color rgb="FF000000"/>
        <rFont val="Avenir Book"/>
        <family val="2"/>
      </rPr>
      <t xml:space="preserve"> SUNDAY LIFESTILE SLU</t>
    </r>
    <r>
      <rPr>
        <sz val="12"/>
        <color theme="1"/>
        <rFont val="Avenir Book"/>
        <family val="2"/>
      </rPr>
      <t xml:space="preserve"> INV NO 2025/05/001</t>
    </r>
  </si>
  <si>
    <t>TRANSFER FROM ESPARGOS CURRENT A/S TO RABONA CURRENT A/C</t>
  </si>
  <si>
    <t>TRANSFER FROM RABONA CURRENT A/S TO ESPARGOS CURRENT A/C</t>
  </si>
  <si>
    <t>TAXI BERLIN</t>
  </si>
  <si>
    <t>MOXY BERLIN</t>
  </si>
  <si>
    <t>FLIGHT</t>
  </si>
  <si>
    <t>LAGARD RE</t>
  </si>
  <si>
    <t>ANIL OEZKAN</t>
  </si>
  <si>
    <t>URBAN OUTFITERS</t>
  </si>
  <si>
    <t>GALIM</t>
  </si>
  <si>
    <t>JD BERLIN</t>
  </si>
  <si>
    <t>PLUSGRADE</t>
  </si>
  <si>
    <t>ACCOMODATION BERLIN</t>
  </si>
  <si>
    <t>BANK</t>
  </si>
  <si>
    <t>BANK CHARGES OM TRANSFER</t>
  </si>
  <si>
    <t>WURFELFUNK</t>
  </si>
  <si>
    <t>BIBLIOPOLEIO</t>
  </si>
  <si>
    <t>STATIONARY</t>
  </si>
  <si>
    <t>GETT</t>
  </si>
  <si>
    <t>THE GOLD SHNITZEL</t>
  </si>
  <si>
    <t>TAXI IL</t>
  </si>
  <si>
    <t>WOLT ANITA</t>
  </si>
  <si>
    <t>WOLT THE SHAWARMA</t>
  </si>
  <si>
    <t>WOLT WAGAMAMA</t>
  </si>
  <si>
    <t>EKO</t>
  </si>
  <si>
    <t>CORRECTION MADE</t>
  </si>
  <si>
    <t>JUNE 2025</t>
  </si>
  <si>
    <t>BLUEGROUND</t>
  </si>
  <si>
    <t>CAR PARKING AIRPORT</t>
  </si>
  <si>
    <t>AUGUST 2025</t>
  </si>
  <si>
    <t>S7/3</t>
  </si>
  <si>
    <t>25/7/3</t>
  </si>
  <si>
    <t>S8/3</t>
  </si>
  <si>
    <t>JULY 2025</t>
  </si>
  <si>
    <t>FLAT IN ATHENS</t>
  </si>
  <si>
    <t>CARD TRANSACTION ADM FEE</t>
  </si>
  <si>
    <t xml:space="preserve"> TOTAL TO REIMBURSE</t>
  </si>
  <si>
    <t>SEPTEMBER 2025</t>
  </si>
  <si>
    <t>25/8/3</t>
  </si>
  <si>
    <t>S9/3</t>
  </si>
  <si>
    <t>LARNACA INTERNATIONAL AIRPORT</t>
  </si>
  <si>
    <t>T9/</t>
  </si>
  <si>
    <t>PF DOORSTEPS</t>
  </si>
  <si>
    <t>PHONE BILL AUGUST 2025</t>
  </si>
  <si>
    <t>OCTOBER 2025</t>
  </si>
  <si>
    <t>25/9/3</t>
  </si>
  <si>
    <t>S10/3</t>
  </si>
  <si>
    <t>MOVEMENT BETWEEN A/C</t>
  </si>
  <si>
    <t>GR WOLT DAO VIETNAMESE</t>
  </si>
  <si>
    <t>25/11/1</t>
  </si>
  <si>
    <t>25/11/3</t>
  </si>
  <si>
    <t>S11/1</t>
  </si>
  <si>
    <t>S11/3</t>
  </si>
  <si>
    <t>B.KEDEM  SALARY NOVEMBER 2025</t>
  </si>
  <si>
    <t>N</t>
  </si>
  <si>
    <t xml:space="preserve">PHONE BILL SEPTEMBER 2025 </t>
  </si>
  <si>
    <t>STARLINK</t>
  </si>
  <si>
    <t>INTERNET SUBSCRIPTION</t>
  </si>
  <si>
    <t>MIXTILES</t>
  </si>
  <si>
    <t>PRINTED MARKETING MATERIALS</t>
  </si>
  <si>
    <t>ZARA HOME</t>
  </si>
  <si>
    <t>PLATS AND GLASSES FOR MOCK UP FLATS</t>
  </si>
  <si>
    <t xml:space="preserve">EXPENSES TO BE REIBURSED </t>
  </si>
  <si>
    <t>26/1/</t>
  </si>
  <si>
    <t>JANUARY 2026</t>
  </si>
  <si>
    <t>T1/1</t>
  </si>
  <si>
    <t>R1/1</t>
  </si>
  <si>
    <t>T1/2</t>
  </si>
  <si>
    <t>R1/2</t>
  </si>
  <si>
    <t>TAXIUNTERNEHMEN KONAK</t>
  </si>
  <si>
    <t>TAXI GERMANY</t>
  </si>
  <si>
    <t>PLATZL HOTEL</t>
  </si>
  <si>
    <t>ACCOMODATION GERMANY</t>
  </si>
  <si>
    <t>BAD STEFFENSTAIN</t>
  </si>
  <si>
    <t>T1/3</t>
  </si>
  <si>
    <t>TAXIQUITTUNG</t>
  </si>
  <si>
    <t>R1/3</t>
  </si>
  <si>
    <t>T1/4</t>
  </si>
  <si>
    <t>R1/4</t>
  </si>
  <si>
    <t>T1/5</t>
  </si>
  <si>
    <t>T1/6</t>
  </si>
  <si>
    <t>T1/7</t>
  </si>
  <si>
    <t>R1/5</t>
  </si>
  <si>
    <t>R1/6</t>
  </si>
  <si>
    <t>R1/7</t>
  </si>
  <si>
    <t>T1/8</t>
  </si>
  <si>
    <t>R1/8</t>
  </si>
  <si>
    <t>REPORT JANUARY 31ST 2025</t>
  </si>
  <si>
    <t>BAD Steffenstein</t>
  </si>
  <si>
    <t>25/10/3</t>
  </si>
  <si>
    <t>25/12/1</t>
  </si>
  <si>
    <t>25/12/2</t>
  </si>
  <si>
    <t>25/12/3</t>
  </si>
  <si>
    <t>S12/1</t>
  </si>
  <si>
    <t>S12/2</t>
  </si>
  <si>
    <t>S12/3</t>
  </si>
  <si>
    <t>B.KEDEM  SALARY DECEMBER 2025</t>
  </si>
  <si>
    <t>NOVEMBER 2025</t>
  </si>
  <si>
    <t>S1/1</t>
  </si>
  <si>
    <t>S1/2</t>
  </si>
  <si>
    <t>S1/3</t>
  </si>
  <si>
    <t>B.KEDEM  SALARY JANUARY 2026</t>
  </si>
  <si>
    <t>DECEMBER 2025</t>
  </si>
  <si>
    <r>
      <t>INWARDS TRANSFER FROM</t>
    </r>
    <r>
      <rPr>
        <b/>
        <sz val="12"/>
        <color rgb="FF000000"/>
        <rFont val="Avenir Book"/>
        <family val="2"/>
      </rPr>
      <t xml:space="preserve"> SUNDAY LIFESTILE SLU</t>
    </r>
    <r>
      <rPr>
        <sz val="12"/>
        <color theme="1"/>
        <rFont val="Avenir Book"/>
        <family val="2"/>
      </rPr>
      <t xml:space="preserve"> INV NO 2025/12/004</t>
    </r>
  </si>
  <si>
    <t>CONSULTING SERVICES for project KYPSELI DECEBER FEE 2025</t>
  </si>
  <si>
    <r>
      <t xml:space="preserve">INWARDS TRANSFER FROM </t>
    </r>
    <r>
      <rPr>
        <b/>
        <sz val="12"/>
        <color rgb="FF000000"/>
        <rFont val="Avenir Book"/>
        <family val="2"/>
      </rPr>
      <t>OZ SHLOMI SINGLE MEMBER S.A</t>
    </r>
    <r>
      <rPr>
        <sz val="12"/>
        <color rgb="FF000000"/>
        <rFont val="Avenir Book"/>
        <family val="2"/>
      </rPr>
      <t>.INV. NO: 2025/12/005</t>
    </r>
  </si>
  <si>
    <t>CONSULTING SERVICES for project GREEN FIELD HOTEL DECEMBER FEE 2025</t>
  </si>
  <si>
    <r>
      <t xml:space="preserve">INWARDS TRANSFER FROM </t>
    </r>
    <r>
      <rPr>
        <b/>
        <sz val="12"/>
        <color theme="1"/>
        <rFont val="Avenir Book"/>
        <family val="2"/>
      </rPr>
      <t>BTS REAL ESTATE</t>
    </r>
    <r>
      <rPr>
        <sz val="12"/>
        <color theme="1"/>
        <rFont val="Avenir Book"/>
        <family val="2"/>
      </rPr>
      <t xml:space="preserve"> INV. NO: 2026/01/002</t>
    </r>
  </si>
  <si>
    <r>
      <t xml:space="preserve">INWARDS TRANSFER FROM </t>
    </r>
    <r>
      <rPr>
        <b/>
        <sz val="12"/>
        <color theme="1"/>
        <rFont val="Avenir Book"/>
        <family val="2"/>
      </rPr>
      <t>BTS REAL ESTATE</t>
    </r>
    <r>
      <rPr>
        <sz val="12"/>
        <color theme="1"/>
        <rFont val="Avenir Book"/>
        <family val="2"/>
      </rPr>
      <t xml:space="preserve"> INV. NO: 2026/01/001</t>
    </r>
  </si>
  <si>
    <t>CONSULTING SERVICES for project BLUE LAGOON JANUARY FEES 2026</t>
  </si>
  <si>
    <t>project BLUE LAGOON FIXED EXPENSES JANUARY  FIXED EXPENSES 2026</t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</si>
  <si>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2026/01/003</t>
    </r>
  </si>
  <si>
    <r>
      <t xml:space="preserve">INWARDS TRANSFER FROM </t>
    </r>
    <r>
      <rPr>
        <b/>
        <sz val="12"/>
        <color theme="1"/>
        <rFont val="Avenir Book"/>
        <family val="2"/>
      </rPr>
      <t>EVIMER LTD</t>
    </r>
    <r>
      <rPr>
        <sz val="12"/>
        <color theme="1"/>
        <rFont val="Avenir Book"/>
        <family val="2"/>
      </rPr>
      <t xml:space="preserve"> INV. NO: 2026/01/006</t>
    </r>
  </si>
  <si>
    <t>REIMBURSMENTS OF EXPENSES project URBAN CITY NOVEMBER 2025</t>
  </si>
  <si>
    <r>
      <t xml:space="preserve">INWARDS TRANSFER FROM </t>
    </r>
    <r>
      <rPr>
        <b/>
        <sz val="12"/>
        <color rgb="FF000000"/>
        <rFont val="Avenir Book"/>
        <family val="2"/>
      </rPr>
      <t>OZ SHLOMI SINGLE MEMBER S.A</t>
    </r>
    <r>
      <rPr>
        <sz val="12"/>
        <color rgb="FF000000"/>
        <rFont val="Avenir Book"/>
        <family val="2"/>
      </rPr>
      <t>.INV. NO: 2026/01/005</t>
    </r>
  </si>
  <si>
    <t>CONSULTING SERVICES for project GREEN FIELD HOTEL JANUARY FEE 2026</t>
  </si>
  <si>
    <t>CONSULTING SERVICES for project URBAN CITY JANUARY 2026</t>
  </si>
  <si>
    <t>P</t>
  </si>
  <si>
    <t>T</t>
  </si>
  <si>
    <t>LUFTHANSA</t>
  </si>
  <si>
    <t>U</t>
  </si>
  <si>
    <t>Z</t>
  </si>
  <si>
    <r>
      <t xml:space="preserve">TRANSFER TO CONNECTED ACCOUNT (IN ESPARGOS RECORDED WITH REF NO </t>
    </r>
    <r>
      <rPr>
        <b/>
        <sz val="12"/>
        <rFont val="Avenir Book"/>
        <family val="2"/>
      </rPr>
      <t>26/1/1E</t>
    </r>
    <r>
      <rPr>
        <sz val="12"/>
        <rFont val="Avenir Book"/>
        <family val="2"/>
      </rPr>
      <t>)</t>
    </r>
  </si>
  <si>
    <t>TRANSFERS TO SH A/C AND CASH WITHDRAWAL (YK)</t>
  </si>
  <si>
    <t>TRANSFERS TO SH A/C AND CASH WITHDRAWAL (BK)</t>
  </si>
  <si>
    <t>PAYMENTS MADE ON BEHALF OF SH (YK)</t>
  </si>
  <si>
    <t>(YK)</t>
  </si>
  <si>
    <t>(BK)</t>
  </si>
  <si>
    <t>PAYMENTS MADE ON BEHALF OF SH (BK)</t>
  </si>
  <si>
    <t>YK</t>
  </si>
  <si>
    <t>BK</t>
  </si>
  <si>
    <r>
      <t xml:space="preserve">TRANSFER TO CONNECTED ACCOUNT (IN ESPARGOS RECORDED WITH REF NO </t>
    </r>
    <r>
      <rPr>
        <b/>
        <sz val="12"/>
        <rFont val="Avenir Book"/>
        <family val="2"/>
      </rPr>
      <t>26/1/2E</t>
    </r>
    <r>
      <rPr>
        <sz val="12"/>
        <rFont val="Avenir Book"/>
        <family val="2"/>
      </rPr>
      <t>)</t>
    </r>
  </si>
  <si>
    <t xml:space="preserve">BNA MASKOT IL </t>
  </si>
  <si>
    <t>VAT</t>
  </si>
  <si>
    <t>TAX DEPARTMENT</t>
  </si>
  <si>
    <t>TAX PAYMENT</t>
  </si>
  <si>
    <t>CORPORATE DINNER RESERVATION</t>
  </si>
  <si>
    <t>NIADORN TRAIDING LTD</t>
  </si>
  <si>
    <t>STELVIO BUSINESS SERVICES LTD</t>
  </si>
  <si>
    <t>AUDIT 2023</t>
  </si>
  <si>
    <t>AUTHOTECHNICA LTD</t>
  </si>
  <si>
    <t>BALANCE ON CAR LEASE (CONTRACT ENDED)</t>
  </si>
  <si>
    <t>CUBE REALESTATE</t>
  </si>
  <si>
    <t>MAINTANCE SERVICES (ATHENS FLAT)</t>
  </si>
  <si>
    <t>CAFÉ CAFÉ BERSHEVA</t>
  </si>
  <si>
    <t>ZE LTD ASHDOD</t>
  </si>
  <si>
    <t xml:space="preserve">WOLT GR BLINKY'S </t>
  </si>
  <si>
    <t>SEAT CHANGE (FLIGHT ATH-TLV (YKEDEM)</t>
  </si>
  <si>
    <t>T1/9</t>
  </si>
  <si>
    <t>FLIGHT TLV-LCA (9TBSOD 4/1/2026) EXTRA LAGGAGE  BK</t>
  </si>
  <si>
    <t>FLIGHT ATH-TLV (73PLJ7 8/1/26) REISSU CHARGES YK</t>
  </si>
  <si>
    <t>T1/10</t>
  </si>
  <si>
    <t>FLIGHT LCA-ATH-LCA (YTNUB 12/1/2026) REISSUE CHARGES YK</t>
  </si>
  <si>
    <t>T1/11</t>
  </si>
  <si>
    <t>REISSUANCE FEE</t>
  </si>
  <si>
    <t>T1/12</t>
  </si>
  <si>
    <t>WOLT GR PIKANTIKO</t>
  </si>
  <si>
    <t>T1/13</t>
  </si>
  <si>
    <t>WOLT GR ME KOLONAKI</t>
  </si>
  <si>
    <t>TOTAL INTEREST</t>
  </si>
  <si>
    <t>INTERSPORT</t>
  </si>
  <si>
    <t>CAR WASH</t>
  </si>
  <si>
    <t>PIZZA EXPRESS</t>
  </si>
  <si>
    <t>T1/14</t>
  </si>
  <si>
    <t>T1/15</t>
  </si>
  <si>
    <t>CYPRUS AIRWAYS</t>
  </si>
  <si>
    <t>FLIGHT LCA-TLV 23/2/2026 BK</t>
  </si>
  <si>
    <t>T1/16</t>
  </si>
  <si>
    <t>MOXY MUNCHEN AIRPORT</t>
  </si>
  <si>
    <t>T1/17</t>
  </si>
  <si>
    <t>THE GARDEN</t>
  </si>
  <si>
    <t>CASH WITHDRAWAL</t>
  </si>
  <si>
    <t>CASH ADV/TRANSF FEE</t>
  </si>
  <si>
    <t>ACCOMODATION MUNICH</t>
  </si>
  <si>
    <t>T1/18</t>
  </si>
  <si>
    <t>T1/19</t>
  </si>
  <si>
    <t>COLUMBIA CONFECTIONARY</t>
  </si>
  <si>
    <t>WOLT GR MEAT N ROSES</t>
  </si>
  <si>
    <t>T1/21</t>
  </si>
  <si>
    <t>T1/22</t>
  </si>
  <si>
    <t>T1/23</t>
  </si>
  <si>
    <t>T1/24</t>
  </si>
  <si>
    <t>T1/25</t>
  </si>
  <si>
    <t>T1/26</t>
  </si>
  <si>
    <t>T1/27</t>
  </si>
  <si>
    <t>T1/20</t>
  </si>
  <si>
    <t>YORAM KEDEM (REVOLUT)</t>
  </si>
  <si>
    <t>CARD MEMBERSHIP FEE</t>
  </si>
  <si>
    <r>
      <t>REFUND RECEIVED (9</t>
    </r>
    <r>
      <rPr>
        <sz val="12"/>
        <rFont val="Avenir Book"/>
        <family val="2"/>
      </rPr>
      <t>6AAOM)</t>
    </r>
  </si>
  <si>
    <t>REFUND RECEIVED</t>
  </si>
  <si>
    <t>T1/28</t>
  </si>
  <si>
    <t>FLIGHT LCA-MUC-ATH (7Z7JFX) YK 18-21 JAN</t>
  </si>
  <si>
    <t>FAT BULL CO</t>
  </si>
  <si>
    <r>
      <t>REFUND RECEIVED/</t>
    </r>
    <r>
      <rPr>
        <b/>
        <sz val="12"/>
        <color rgb="FFFF0000"/>
        <rFont val="Avenir Book"/>
        <family val="2"/>
      </rPr>
      <t>MISSING SUP DOC</t>
    </r>
  </si>
  <si>
    <t>HOFESH MIDBARI</t>
  </si>
  <si>
    <t>STANLEY</t>
  </si>
  <si>
    <t>T1/30</t>
  </si>
  <si>
    <t>T1/31</t>
  </si>
  <si>
    <t>T1/32</t>
  </si>
  <si>
    <t>PITOT</t>
  </si>
  <si>
    <t>PUNIN</t>
  </si>
  <si>
    <t>DAVID SHIELD</t>
  </si>
  <si>
    <t>INSURANCE</t>
  </si>
  <si>
    <t>FLIPSTREET</t>
  </si>
  <si>
    <t>EFOOD</t>
  </si>
  <si>
    <t>MCDONALDS</t>
  </si>
  <si>
    <t>PERSONAL EXPENSE OF SH (YK)</t>
  </si>
  <si>
    <t>BOBA ISLAND</t>
  </si>
  <si>
    <t>AIRPORT TAXI SERVICES</t>
  </si>
  <si>
    <t>TAXI FROM AIRPORT</t>
  </si>
  <si>
    <t>KYRIAKOU BOOK SHOP</t>
  </si>
  <si>
    <t>YELLOW</t>
  </si>
  <si>
    <t>GRILL GR</t>
  </si>
  <si>
    <t>ZORPAS</t>
  </si>
  <si>
    <t>COFFEE</t>
  </si>
  <si>
    <t>CAR PARK AIRPORT</t>
  </si>
  <si>
    <t>CONSULTING SERVICES</t>
  </si>
  <si>
    <t>REIMBURSMENT OF PROCURE AND RUNNING EXPENSES</t>
  </si>
  <si>
    <t xml:space="preserve">REFUND 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</si>
</sst>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;@"/>
    <numFmt numFmtId="165" formatCode="[$-409]mmm\-yy;@"/>
    <numFmt numFmtId="166" formatCode="[$₪-40D]\ #,##0.00"/>
    <numFmt numFmtId="167" formatCode="&quot;€&quot;#,##0.00"/>
    <numFmt numFmtId="168" formatCode="dd/mm/yyyy;@"/>
    <numFmt numFmtId="169" formatCode="[$-409]mmmm\-yy;@"/>
    <numFmt numFmtId="170" formatCode="[$$-409]#,##0.00"/>
    <numFmt numFmtId="171" formatCode="[$HRK]\ #,##0.00"/>
    <numFmt numFmtId="172" formatCode="[$USD]\ #,##0.00"/>
    <numFmt numFmtId="173" formatCode="[$¥-411]#,##0.00"/>
  </numFmts>
  <fonts count="56" x14ac:knownFonts="1">
    <font>
      <sz val="12"/>
      <color theme="1"/>
      <name val="Calibri"/>
      <family val="2"/>
      <scheme val="minor"/>
    </font>
    <font>
      <sz val="14"/>
      <color theme="1"/>
      <name val="Century Gothic"/>
      <family val="1"/>
    </font>
    <font>
      <sz val="14"/>
      <color theme="0"/>
      <name val="Century Gothic"/>
      <family val="1"/>
    </font>
    <font>
      <sz val="14"/>
      <color theme="1" tint="4.9989318521683403E-2"/>
      <name val="Century Gothic"/>
      <family val="1"/>
    </font>
    <font>
      <sz val="14"/>
      <name val="Century Gothic"/>
      <family val="1"/>
    </font>
    <font>
      <b/>
      <sz val="14"/>
      <color theme="1"/>
      <name val="Century Gothic"/>
      <family val="1"/>
    </font>
    <font>
      <sz val="14"/>
      <color rgb="FFFF0000"/>
      <name val="Century Gothic"/>
      <family val="1"/>
    </font>
    <font>
      <sz val="12"/>
      <color theme="1"/>
      <name val="Century Gothic"/>
      <family val="1"/>
    </font>
    <font>
      <b/>
      <sz val="14"/>
      <color theme="0"/>
      <name val="Century Gothic"/>
      <family val="1"/>
    </font>
    <font>
      <b/>
      <sz val="14"/>
      <name val="Century Gothic"/>
      <family val="1"/>
    </font>
    <font>
      <sz val="8"/>
      <name val="Calibri"/>
      <family val="2"/>
      <scheme val="minor"/>
    </font>
    <font>
      <u/>
      <sz val="14"/>
      <color theme="1"/>
      <name val="Century Gothic"/>
      <family val="1"/>
    </font>
    <font>
      <sz val="14"/>
      <color rgb="FF000000"/>
      <name val="Century Gothic"/>
      <family val="1"/>
    </font>
    <font>
      <u/>
      <sz val="14"/>
      <name val="Century Gothic"/>
      <family val="1"/>
    </font>
    <font>
      <b/>
      <sz val="12"/>
      <color theme="1"/>
      <name val="Century Gothic"/>
      <family val="1"/>
    </font>
    <font>
      <sz val="12"/>
      <color theme="2" tint="-0.749992370372631"/>
      <name val="Century Gothic"/>
      <family val="1"/>
    </font>
    <font>
      <b/>
      <sz val="12"/>
      <name val="Century Gothic"/>
      <family val="1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0"/>
      <name val="Calibri (Body)"/>
    </font>
    <font>
      <b/>
      <sz val="12"/>
      <color theme="0"/>
      <name val="Calibri (Body)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venir Book"/>
      <family val="2"/>
    </font>
    <font>
      <b/>
      <sz val="12"/>
      <color theme="1"/>
      <name val="Avenir Book"/>
      <family val="2"/>
    </font>
    <font>
      <sz val="12"/>
      <color theme="0"/>
      <name val="Avenir Book"/>
      <family val="2"/>
    </font>
    <font>
      <b/>
      <sz val="12"/>
      <color theme="0"/>
      <name val="Avenir Book"/>
      <family val="2"/>
    </font>
    <font>
      <sz val="12"/>
      <name val="Avenir Book"/>
      <family val="2"/>
    </font>
    <font>
      <sz val="12"/>
      <color theme="1" tint="4.9989318521683403E-2"/>
      <name val="Avenir Book"/>
      <family val="2"/>
    </font>
    <font>
      <sz val="12"/>
      <color rgb="FF000000"/>
      <name val="Avenir Book"/>
      <family val="2"/>
    </font>
    <font>
      <b/>
      <sz val="16"/>
      <color theme="1"/>
      <name val="Avenir Book"/>
      <family val="2"/>
    </font>
    <font>
      <b/>
      <sz val="12"/>
      <color rgb="FFFF0000"/>
      <name val="Avenir Book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 tint="0.499984740745262"/>
      <name val="Avenir Book"/>
      <family val="2"/>
    </font>
    <font>
      <b/>
      <sz val="12"/>
      <color rgb="FFFF0000"/>
      <name val="Calibri"/>
      <family val="2"/>
      <scheme val="minor"/>
    </font>
    <font>
      <b/>
      <sz val="12"/>
      <name val="Avenir Book"/>
      <family val="2"/>
    </font>
    <font>
      <b/>
      <sz val="12"/>
      <color theme="0"/>
      <name val="Calibri"/>
      <family val="2"/>
      <scheme val="minor"/>
    </font>
    <font>
      <sz val="12"/>
      <color rgb="FFFF0000"/>
      <name val="Avenir Book"/>
      <family val="2"/>
    </font>
    <font>
      <b/>
      <sz val="12"/>
      <color rgb="FF000000"/>
      <name val="Avenir Book"/>
      <family val="2"/>
    </font>
    <font>
      <sz val="12"/>
      <color theme="0"/>
      <name val="Calibri"/>
      <family val="2"/>
      <scheme val="minor"/>
    </font>
    <font>
      <b/>
      <sz val="14"/>
      <color theme="1" tint="4.9989318521683403E-2"/>
      <name val="Century Gothic"/>
      <family val="1"/>
    </font>
    <font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2"/>
      <color theme="1" tint="0.499984740745262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2"/>
      <color theme="1" tint="4.9989318521683403E-2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3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E8FB9"/>
        <bgColor indexed="64"/>
      </patternFill>
    </fill>
    <fill>
      <patternFill patternType="solid">
        <fgColor theme="4" tint="-0.249977111117893"/>
        <bgColor rgb="FFE7F1F8"/>
      </patternFill>
    </fill>
    <fill>
      <patternFill patternType="solid">
        <fgColor theme="0"/>
        <bgColor rgb="FFE7F1F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14B8A"/>
        <bgColor indexed="64"/>
      </patternFill>
    </fill>
    <fill>
      <patternFill patternType="solid">
        <fgColor rgb="FF714B8A"/>
        <bgColor rgb="FFE7F1F8"/>
      </patternFill>
    </fill>
    <fill>
      <patternFill patternType="solid">
        <fgColor rgb="FFCDC2E5"/>
        <bgColor indexed="64"/>
      </patternFill>
    </fill>
    <fill>
      <patternFill patternType="solid">
        <fgColor rgb="FFE1CEEE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CF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EC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BE9FD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ECFC"/>
        <bgColor rgb="FF000000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28">
    <xf numFmtId="0" fontId="0" fillId="0" borderId="0" xfId="0"/>
    <xf numFmtId="16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7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167" fontId="5" fillId="0" borderId="2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167" fontId="7" fillId="0" borderId="7" xfId="0" applyNumberFormat="1" applyFont="1" applyBorder="1" applyAlignment="1">
      <alignment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1" fontId="2" fillId="2" borderId="4" xfId="0" applyNumberFormat="1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vertical="center"/>
    </xf>
    <xf numFmtId="167" fontId="1" fillId="3" borderId="2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167" fontId="1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 wrapText="1"/>
    </xf>
    <xf numFmtId="166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7" fontId="2" fillId="2" borderId="5" xfId="0" applyNumberFormat="1" applyFont="1" applyFill="1" applyBorder="1" applyAlignment="1">
      <alignment horizontal="center" vertical="center" wrapText="1"/>
    </xf>
    <xf numFmtId="168" fontId="2" fillId="2" borderId="5" xfId="0" applyNumberFormat="1" applyFont="1" applyFill="1" applyBorder="1" applyAlignment="1">
      <alignment horizontal="center" vertical="center" wrapText="1"/>
    </xf>
    <xf numFmtId="169" fontId="2" fillId="2" borderId="5" xfId="0" applyNumberFormat="1" applyFont="1" applyFill="1" applyBorder="1" applyAlignment="1">
      <alignment horizontal="center" vertical="center" wrapText="1"/>
    </xf>
    <xf numFmtId="167" fontId="8" fillId="2" borderId="5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167" fontId="3" fillId="0" borderId="2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 wrapText="1"/>
    </xf>
    <xf numFmtId="168" fontId="2" fillId="2" borderId="2" xfId="0" applyNumberFormat="1" applyFont="1" applyFill="1" applyBorder="1" applyAlignment="1">
      <alignment horizontal="center" vertical="center" wrapText="1"/>
    </xf>
    <xf numFmtId="169" fontId="2" fillId="2" borderId="2" xfId="0" applyNumberFormat="1" applyFont="1" applyFill="1" applyBorder="1" applyAlignment="1">
      <alignment horizontal="center" vertical="center" wrapText="1"/>
    </xf>
    <xf numFmtId="167" fontId="8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9" fontId="4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vertical="center" wrapText="1"/>
    </xf>
    <xf numFmtId="167" fontId="1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6" borderId="0" xfId="0" applyFont="1" applyFill="1"/>
    <xf numFmtId="0" fontId="5" fillId="6" borderId="0" xfId="0" applyFont="1" applyFill="1" applyAlignment="1">
      <alignment horizontal="center" vertical="center"/>
    </xf>
    <xf numFmtId="167" fontId="3" fillId="5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/>
    <xf numFmtId="0" fontId="9" fillId="4" borderId="6" xfId="0" applyFont="1" applyFill="1" applyBorder="1" applyAlignment="1">
      <alignment horizontal="center" vertical="center"/>
    </xf>
    <xf numFmtId="0" fontId="1" fillId="4" borderId="12" xfId="0" applyFont="1" applyFill="1" applyBorder="1"/>
    <xf numFmtId="167" fontId="5" fillId="4" borderId="2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vertical="center"/>
    </xf>
    <xf numFmtId="0" fontId="4" fillId="4" borderId="12" xfId="0" applyFont="1" applyFill="1" applyBorder="1"/>
    <xf numFmtId="167" fontId="9" fillId="4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168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167" fontId="14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168" fontId="7" fillId="0" borderId="7" xfId="0" applyNumberFormat="1" applyFont="1" applyBorder="1" applyAlignment="1">
      <alignment horizontal="center" vertical="center"/>
    </xf>
    <xf numFmtId="169" fontId="7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7" fillId="0" borderId="4" xfId="0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vertical="center"/>
    </xf>
    <xf numFmtId="1" fontId="7" fillId="0" borderId="4" xfId="0" applyNumberFormat="1" applyFont="1" applyBorder="1" applyAlignment="1">
      <alignment horizontal="center" vertical="center"/>
    </xf>
    <xf numFmtId="0" fontId="0" fillId="0" borderId="9" xfId="0" applyBorder="1"/>
    <xf numFmtId="0" fontId="16" fillId="0" borderId="0" xfId="0" applyFont="1" applyAlignment="1">
      <alignment horizontal="right" vertical="center" wrapText="1"/>
    </xf>
    <xf numFmtId="0" fontId="0" fillId="6" borderId="0" xfId="0" applyFill="1" applyAlignment="1">
      <alignment vertical="center"/>
    </xf>
    <xf numFmtId="0" fontId="19" fillId="6" borderId="0" xfId="0" applyFont="1" applyFill="1" applyAlignment="1">
      <alignment vertical="center"/>
    </xf>
    <xf numFmtId="17" fontId="20" fillId="9" borderId="0" xfId="0" applyNumberFormat="1" applyFont="1" applyFill="1" applyAlignment="1">
      <alignment horizontal="center" vertical="center"/>
    </xf>
    <xf numFmtId="0" fontId="21" fillId="10" borderId="2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8" fillId="11" borderId="2" xfId="0" applyFont="1" applyFill="1" applyBorder="1" applyAlignment="1">
      <alignment vertical="center"/>
    </xf>
    <xf numFmtId="0" fontId="18" fillId="6" borderId="0" xfId="0" applyFont="1" applyFill="1" applyAlignment="1">
      <alignment vertical="center"/>
    </xf>
    <xf numFmtId="167" fontId="18" fillId="11" borderId="2" xfId="0" applyNumberFormat="1" applyFont="1" applyFill="1" applyBorder="1" applyAlignment="1">
      <alignment vertical="center"/>
    </xf>
    <xf numFmtId="167" fontId="22" fillId="6" borderId="0" xfId="0" applyNumberFormat="1" applyFont="1" applyFill="1" applyAlignment="1">
      <alignment vertical="center"/>
    </xf>
    <xf numFmtId="167" fontId="18" fillId="6" borderId="0" xfId="0" applyNumberFormat="1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167" fontId="0" fillId="6" borderId="0" xfId="0" applyNumberFormat="1" applyFill="1" applyAlignment="1">
      <alignment vertical="center"/>
    </xf>
    <xf numFmtId="167" fontId="17" fillId="6" borderId="0" xfId="0" applyNumberFormat="1" applyFont="1" applyFill="1" applyAlignment="1">
      <alignment vertical="center"/>
    </xf>
    <xf numFmtId="0" fontId="23" fillId="0" borderId="2" xfId="0" applyFont="1" applyBorder="1" applyAlignment="1">
      <alignment horizontal="right" vertical="center"/>
    </xf>
    <xf numFmtId="0" fontId="23" fillId="6" borderId="0" xfId="0" applyFont="1" applyFill="1" applyAlignment="1">
      <alignment horizontal="right" vertical="center"/>
    </xf>
    <xf numFmtId="167" fontId="0" fillId="0" borderId="2" xfId="0" applyNumberFormat="1" applyBorder="1" applyAlignment="1">
      <alignment horizontal="left" vertical="center"/>
    </xf>
    <xf numFmtId="167" fontId="0" fillId="6" borderId="0" xfId="0" applyNumberFormat="1" applyFill="1" applyAlignment="1">
      <alignment horizontal="left" vertical="center"/>
    </xf>
    <xf numFmtId="0" fontId="24" fillId="6" borderId="0" xfId="0" applyFont="1" applyFill="1" applyAlignment="1">
      <alignment vertical="center"/>
    </xf>
    <xf numFmtId="0" fontId="23" fillId="0" borderId="0" xfId="0" applyFont="1" applyAlignment="1">
      <alignment horizontal="right" vertical="center"/>
    </xf>
    <xf numFmtId="167" fontId="0" fillId="0" borderId="2" xfId="0" applyNumberFormat="1" applyBorder="1" applyAlignment="1">
      <alignment vertical="center"/>
    </xf>
    <xf numFmtId="0" fontId="0" fillId="6" borderId="14" xfId="0" applyFill="1" applyBorder="1" applyAlignment="1">
      <alignment vertical="center"/>
    </xf>
    <xf numFmtId="167" fontId="0" fillId="6" borderId="14" xfId="0" applyNumberFormat="1" applyFill="1" applyBorder="1" applyAlignment="1">
      <alignment vertical="center"/>
    </xf>
    <xf numFmtId="167" fontId="0" fillId="6" borderId="14" xfId="0" applyNumberFormat="1" applyFill="1" applyBorder="1" applyAlignment="1">
      <alignment horizontal="left" vertical="center"/>
    </xf>
    <xf numFmtId="167" fontId="0" fillId="6" borderId="0" xfId="0" applyNumberFormat="1" applyFill="1" applyAlignment="1">
      <alignment horizontal="right" vertical="center"/>
    </xf>
    <xf numFmtId="167" fontId="21" fillId="10" borderId="2" xfId="0" applyNumberFormat="1" applyFont="1" applyFill="1" applyBorder="1" applyAlignment="1">
      <alignment vertical="center"/>
    </xf>
    <xf numFmtId="0" fontId="21" fillId="12" borderId="1" xfId="0" applyFont="1" applyFill="1" applyBorder="1" applyAlignment="1">
      <alignment vertical="center"/>
    </xf>
    <xf numFmtId="17" fontId="20" fillId="13" borderId="1" xfId="0" applyNumberFormat="1" applyFont="1" applyFill="1" applyBorder="1" applyAlignment="1">
      <alignment vertical="center"/>
    </xf>
    <xf numFmtId="0" fontId="18" fillId="14" borderId="2" xfId="0" applyFont="1" applyFill="1" applyBorder="1" applyAlignment="1">
      <alignment vertical="center"/>
    </xf>
    <xf numFmtId="167" fontId="18" fillId="14" borderId="2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0" fillId="15" borderId="2" xfId="0" applyFill="1" applyBorder="1" applyAlignment="1">
      <alignment vertical="center"/>
    </xf>
    <xf numFmtId="167" fontId="0" fillId="15" borderId="2" xfId="0" applyNumberFormat="1" applyFill="1" applyBorder="1" applyAlignment="1">
      <alignment horizontal="right" vertical="center"/>
    </xf>
    <xf numFmtId="167" fontId="0" fillId="6" borderId="2" xfId="0" applyNumberFormat="1" applyFill="1" applyBorder="1" applyAlignment="1">
      <alignment horizontal="left" vertical="center"/>
    </xf>
    <xf numFmtId="167" fontId="0" fillId="15" borderId="2" xfId="0" applyNumberFormat="1" applyFill="1" applyBorder="1" applyAlignment="1">
      <alignment vertical="center"/>
    </xf>
    <xf numFmtId="0" fontId="0" fillId="6" borderId="0" xfId="0" applyFill="1" applyAlignment="1">
      <alignment horizontal="left" vertical="center"/>
    </xf>
    <xf numFmtId="167" fontId="0" fillId="6" borderId="2" xfId="0" applyNumberForma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167" fontId="21" fillId="16" borderId="1" xfId="0" applyNumberFormat="1" applyFont="1" applyFill="1" applyBorder="1" applyAlignment="1">
      <alignment vertical="center"/>
    </xf>
    <xf numFmtId="167" fontId="21" fillId="6" borderId="0" xfId="0" applyNumberFormat="1" applyFont="1" applyFill="1" applyAlignment="1">
      <alignment horizontal="center" vertical="center"/>
    </xf>
    <xf numFmtId="4" fontId="7" fillId="0" borderId="2" xfId="0" applyNumberFormat="1" applyFont="1" applyBorder="1"/>
    <xf numFmtId="0" fontId="0" fillId="6" borderId="1" xfId="0" applyFill="1" applyBorder="1" applyAlignment="1">
      <alignment vertical="center"/>
    </xf>
    <xf numFmtId="0" fontId="0" fillId="0" borderId="8" xfId="0" applyBorder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vertical="center" wrapText="1"/>
    </xf>
    <xf numFmtId="168" fontId="25" fillId="0" borderId="0" xfId="0" applyNumberFormat="1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/>
    <xf numFmtId="167" fontId="26" fillId="0" borderId="0" xfId="0" applyNumberFormat="1" applyFont="1" applyAlignment="1">
      <alignment horizontal="center" vertical="center"/>
    </xf>
    <xf numFmtId="0" fontId="27" fillId="2" borderId="15" xfId="0" applyFont="1" applyFill="1" applyBorder="1" applyAlignment="1">
      <alignment horizontal="center" vertical="center" wrapText="1"/>
    </xf>
    <xf numFmtId="167" fontId="27" fillId="2" borderId="16" xfId="0" applyNumberFormat="1" applyFont="1" applyFill="1" applyBorder="1" applyAlignment="1">
      <alignment horizontal="center" vertical="center" wrapText="1"/>
    </xf>
    <xf numFmtId="1" fontId="27" fillId="2" borderId="17" xfId="0" applyNumberFormat="1" applyFont="1" applyFill="1" applyBorder="1" applyAlignment="1">
      <alignment horizontal="center" vertical="center" wrapText="1"/>
    </xf>
    <xf numFmtId="1" fontId="27" fillId="2" borderId="15" xfId="0" applyNumberFormat="1" applyFont="1" applyFill="1" applyBorder="1" applyAlignment="1">
      <alignment horizontal="center" vertical="center" wrapText="1"/>
    </xf>
    <xf numFmtId="1" fontId="27" fillId="2" borderId="16" xfId="0" applyNumberFormat="1" applyFont="1" applyFill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167" fontId="25" fillId="0" borderId="18" xfId="0" applyNumberFormat="1" applyFont="1" applyBorder="1" applyAlignment="1">
      <alignment vertical="center"/>
    </xf>
    <xf numFmtId="167" fontId="25" fillId="0" borderId="1" xfId="0" applyNumberFormat="1" applyFont="1" applyBorder="1" applyAlignment="1">
      <alignment vertical="center"/>
    </xf>
    <xf numFmtId="0" fontId="31" fillId="0" borderId="19" xfId="0" applyFont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 wrapText="1"/>
    </xf>
    <xf numFmtId="167" fontId="26" fillId="7" borderId="25" xfId="0" applyNumberFormat="1" applyFont="1" applyFill="1" applyBorder="1" applyAlignment="1">
      <alignment vertical="center"/>
    </xf>
    <xf numFmtId="1" fontId="25" fillId="7" borderId="23" xfId="0" applyNumberFormat="1" applyFont="1" applyFill="1" applyBorder="1" applyAlignment="1">
      <alignment horizontal="center" vertical="center"/>
    </xf>
    <xf numFmtId="0" fontId="25" fillId="7" borderId="23" xfId="0" applyFont="1" applyFill="1" applyBorder="1" applyAlignment="1">
      <alignment horizontal="center" vertical="center"/>
    </xf>
    <xf numFmtId="168" fontId="25" fillId="7" borderId="25" xfId="0" applyNumberFormat="1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 wrapText="1"/>
    </xf>
    <xf numFmtId="0" fontId="25" fillId="7" borderId="23" xfId="0" applyFont="1" applyFill="1" applyBorder="1" applyAlignment="1">
      <alignment vertical="center" wrapText="1"/>
    </xf>
    <xf numFmtId="167" fontId="26" fillId="7" borderId="25" xfId="0" applyNumberFormat="1" applyFont="1" applyFill="1" applyBorder="1" applyAlignment="1">
      <alignment horizontal="center" vertical="center"/>
    </xf>
    <xf numFmtId="167" fontId="14" fillId="0" borderId="7" xfId="0" applyNumberFormat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4" fillId="0" borderId="4" xfId="0" applyNumberFormat="1" applyFont="1" applyBorder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6" fontId="26" fillId="7" borderId="24" xfId="0" applyNumberFormat="1" applyFont="1" applyFill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/>
    </xf>
    <xf numFmtId="164" fontId="25" fillId="7" borderId="25" xfId="0" applyNumberFormat="1" applyFont="1" applyFill="1" applyBorder="1" applyAlignment="1">
      <alignment horizontal="center" vertical="center"/>
    </xf>
    <xf numFmtId="165" fontId="25" fillId="7" borderId="25" xfId="0" applyNumberFormat="1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vertical="center" wrapText="1"/>
    </xf>
    <xf numFmtId="49" fontId="25" fillId="7" borderId="25" xfId="0" applyNumberFormat="1" applyFont="1" applyFill="1" applyBorder="1" applyAlignment="1">
      <alignment vertical="center" wrapText="1"/>
    </xf>
    <xf numFmtId="49" fontId="25" fillId="7" borderId="23" xfId="0" applyNumberFormat="1" applyFont="1" applyFill="1" applyBorder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49" fontId="32" fillId="0" borderId="0" xfId="0" applyNumberFormat="1" applyFont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165" fontId="27" fillId="2" borderId="28" xfId="0" applyNumberFormat="1" applyFont="1" applyFill="1" applyBorder="1" applyAlignment="1">
      <alignment horizontal="center" vertical="center" wrapText="1"/>
    </xf>
    <xf numFmtId="49" fontId="27" fillId="2" borderId="28" xfId="0" applyNumberFormat="1" applyFont="1" applyFill="1" applyBorder="1" applyAlignment="1">
      <alignment horizontal="center" vertical="center" wrapText="1"/>
    </xf>
    <xf numFmtId="49" fontId="27" fillId="2" borderId="29" xfId="0" applyNumberFormat="1" applyFont="1" applyFill="1" applyBorder="1" applyAlignment="1">
      <alignment horizontal="center" vertical="center" wrapText="1"/>
    </xf>
    <xf numFmtId="166" fontId="28" fillId="2" borderId="27" xfId="0" applyNumberFormat="1" applyFont="1" applyFill="1" applyBorder="1" applyAlignment="1">
      <alignment horizontal="center" vertical="center" wrapText="1"/>
    </xf>
    <xf numFmtId="168" fontId="27" fillId="2" borderId="28" xfId="0" applyNumberFormat="1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 wrapText="1"/>
    </xf>
    <xf numFmtId="17" fontId="34" fillId="9" borderId="0" xfId="0" applyNumberFormat="1" applyFont="1" applyFill="1" applyAlignment="1">
      <alignment horizontal="right" vertical="center"/>
    </xf>
    <xf numFmtId="0" fontId="23" fillId="6" borderId="2" xfId="0" applyFont="1" applyFill="1" applyBorder="1" applyAlignment="1">
      <alignment horizontal="right" vertical="center"/>
    </xf>
    <xf numFmtId="167" fontId="35" fillId="17" borderId="0" xfId="0" applyNumberFormat="1" applyFont="1" applyFill="1" applyAlignment="1">
      <alignment vertical="center"/>
    </xf>
    <xf numFmtId="167" fontId="0" fillId="6" borderId="2" xfId="0" applyNumberFormat="1" applyFill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7" fontId="18" fillId="6" borderId="0" xfId="0" applyNumberFormat="1" applyFont="1" applyFill="1" applyAlignment="1">
      <alignment horizontal="right" vertical="center"/>
    </xf>
    <xf numFmtId="167" fontId="21" fillId="6" borderId="0" xfId="0" applyNumberFormat="1" applyFont="1" applyFill="1" applyAlignment="1">
      <alignment vertical="center"/>
    </xf>
    <xf numFmtId="167" fontId="18" fillId="0" borderId="2" xfId="0" applyNumberFormat="1" applyFont="1" applyBorder="1" applyAlignment="1">
      <alignment vertical="center"/>
    </xf>
    <xf numFmtId="0" fontId="24" fillId="6" borderId="2" xfId="0" applyFont="1" applyFill="1" applyBorder="1" applyAlignment="1">
      <alignment horizontal="right" vertical="center"/>
    </xf>
    <xf numFmtId="0" fontId="23" fillId="6" borderId="2" xfId="0" applyFont="1" applyFill="1" applyBorder="1" applyAlignment="1">
      <alignment horizontal="right" vertical="center" wrapText="1"/>
    </xf>
    <xf numFmtId="0" fontId="23" fillId="0" borderId="2" xfId="0" applyFont="1" applyBorder="1" applyAlignment="1">
      <alignment horizontal="right" vertical="center" wrapText="1"/>
    </xf>
    <xf numFmtId="0" fontId="18" fillId="3" borderId="2" xfId="0" applyFont="1" applyFill="1" applyBorder="1" applyAlignment="1">
      <alignment vertical="center"/>
    </xf>
    <xf numFmtId="167" fontId="18" fillId="3" borderId="2" xfId="0" applyNumberFormat="1" applyFont="1" applyFill="1" applyBorder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0" fontId="21" fillId="12" borderId="2" xfId="0" applyFont="1" applyFill="1" applyBorder="1" applyAlignment="1">
      <alignment vertical="center"/>
    </xf>
    <xf numFmtId="167" fontId="39" fillId="12" borderId="2" xfId="0" applyNumberFormat="1" applyFont="1" applyFill="1" applyBorder="1" applyAlignment="1">
      <alignment vertical="center"/>
    </xf>
    <xf numFmtId="0" fontId="9" fillId="4" borderId="6" xfId="0" quotePrefix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right" vertical="center"/>
    </xf>
    <xf numFmtId="167" fontId="0" fillId="5" borderId="2" xfId="0" applyNumberForma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9" fontId="25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vertical="center" wrapText="1"/>
    </xf>
    <xf numFmtId="49" fontId="25" fillId="3" borderId="1" xfId="0" applyNumberFormat="1" applyFont="1" applyFill="1" applyBorder="1" applyAlignment="1">
      <alignment vertical="center" wrapText="1"/>
    </xf>
    <xf numFmtId="166" fontId="26" fillId="3" borderId="18" xfId="0" applyNumberFormat="1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167" fontId="18" fillId="6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right"/>
    </xf>
    <xf numFmtId="167" fontId="1" fillId="6" borderId="0" xfId="0" applyNumberFormat="1" applyFont="1" applyFill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25" fillId="18" borderId="1" xfId="0" applyFont="1" applyFill="1" applyBorder="1" applyAlignment="1">
      <alignment horizontal="center" vertical="center"/>
    </xf>
    <xf numFmtId="169" fontId="25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vertical="center" wrapText="1"/>
    </xf>
    <xf numFmtId="166" fontId="26" fillId="18" borderId="18" xfId="0" applyNumberFormat="1" applyFont="1" applyFill="1" applyBorder="1" applyAlignment="1">
      <alignment horizontal="center" vertical="center"/>
    </xf>
    <xf numFmtId="168" fontId="25" fillId="18" borderId="1" xfId="0" applyNumberFormat="1" applyFont="1" applyFill="1" applyBorder="1" applyAlignment="1">
      <alignment horizontal="center" vertical="center"/>
    </xf>
    <xf numFmtId="0" fontId="29" fillId="18" borderId="19" xfId="0" applyFont="1" applyFill="1" applyBorder="1" applyAlignment="1">
      <alignment vertical="center" wrapText="1"/>
    </xf>
    <xf numFmtId="0" fontId="31" fillId="18" borderId="1" xfId="0" applyFont="1" applyFill="1" applyBorder="1" applyAlignment="1">
      <alignment horizontal="center" vertical="center"/>
    </xf>
    <xf numFmtId="49" fontId="31" fillId="18" borderId="9" xfId="0" applyNumberFormat="1" applyFont="1" applyFill="1" applyBorder="1" applyAlignment="1">
      <alignment vertical="center" wrapText="1"/>
    </xf>
    <xf numFmtId="49" fontId="31" fillId="18" borderId="26" xfId="0" applyNumberFormat="1" applyFont="1" applyFill="1" applyBorder="1" applyAlignment="1">
      <alignment vertical="center" wrapText="1"/>
    </xf>
    <xf numFmtId="164" fontId="25" fillId="18" borderId="9" xfId="0" applyNumberFormat="1" applyFont="1" applyFill="1" applyBorder="1" applyAlignment="1">
      <alignment horizontal="center" vertical="center"/>
    </xf>
    <xf numFmtId="49" fontId="25" fillId="3" borderId="18" xfId="0" applyNumberFormat="1" applyFont="1" applyFill="1" applyBorder="1" applyAlignment="1">
      <alignment horizontal="center" vertical="center"/>
    </xf>
    <xf numFmtId="49" fontId="29" fillId="3" borderId="19" xfId="0" applyNumberFormat="1" applyFont="1" applyFill="1" applyBorder="1" applyAlignment="1">
      <alignment vertical="center" wrapText="1"/>
    </xf>
    <xf numFmtId="166" fontId="41" fillId="18" borderId="9" xfId="0" applyNumberFormat="1" applyFont="1" applyFill="1" applyBorder="1" applyAlignment="1">
      <alignment horizontal="center" vertical="center"/>
    </xf>
    <xf numFmtId="168" fontId="31" fillId="18" borderId="9" xfId="0" applyNumberFormat="1" applyFont="1" applyFill="1" applyBorder="1" applyAlignment="1">
      <alignment horizontal="center" vertical="center"/>
    </xf>
    <xf numFmtId="164" fontId="31" fillId="18" borderId="9" xfId="0" applyNumberFormat="1" applyFont="1" applyFill="1" applyBorder="1" applyAlignment="1">
      <alignment horizontal="center" vertical="center"/>
    </xf>
    <xf numFmtId="49" fontId="27" fillId="2" borderId="33" xfId="0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horizontal="center" vertical="center"/>
    </xf>
    <xf numFmtId="49" fontId="25" fillId="18" borderId="9" xfId="0" applyNumberFormat="1" applyFont="1" applyFill="1" applyBorder="1" applyAlignment="1">
      <alignment horizontal="center" vertical="center"/>
    </xf>
    <xf numFmtId="49" fontId="25" fillId="7" borderId="25" xfId="0" applyNumberFormat="1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9" fillId="3" borderId="38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25" fillId="3" borderId="9" xfId="0" applyNumberFormat="1" applyFont="1" applyFill="1" applyBorder="1" applyAlignment="1">
      <alignment horizontal="center" vertical="center"/>
    </xf>
    <xf numFmtId="168" fontId="25" fillId="3" borderId="9" xfId="0" applyNumberFormat="1" applyFont="1" applyFill="1" applyBorder="1" applyAlignment="1">
      <alignment horizontal="center" vertical="center"/>
    </xf>
    <xf numFmtId="167" fontId="26" fillId="3" borderId="9" xfId="0" applyNumberFormat="1" applyFont="1" applyFill="1" applyBorder="1" applyAlignment="1">
      <alignment horizontal="center" vertical="center"/>
    </xf>
    <xf numFmtId="167" fontId="26" fillId="18" borderId="9" xfId="0" applyNumberFormat="1" applyFont="1" applyFill="1" applyBorder="1" applyAlignment="1">
      <alignment horizontal="center" vertical="center"/>
    </xf>
    <xf numFmtId="0" fontId="27" fillId="2" borderId="41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9" fillId="4" borderId="12" xfId="0" quotePrefix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49" fontId="27" fillId="2" borderId="35" xfId="0" applyNumberFormat="1" applyFont="1" applyFill="1" applyBorder="1" applyAlignment="1">
      <alignment horizontal="center" vertical="center" wrapText="1"/>
    </xf>
    <xf numFmtId="49" fontId="25" fillId="19" borderId="43" xfId="0" applyNumberFormat="1" applyFont="1" applyFill="1" applyBorder="1" applyAlignment="1">
      <alignment horizontal="center" vertical="center"/>
    </xf>
    <xf numFmtId="49" fontId="25" fillId="7" borderId="43" xfId="0" applyNumberFormat="1" applyFont="1" applyFill="1" applyBorder="1" applyAlignment="1">
      <alignment horizontal="center" vertical="center"/>
    </xf>
    <xf numFmtId="49" fontId="25" fillId="18" borderId="43" xfId="0" applyNumberFormat="1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 wrapText="1"/>
    </xf>
    <xf numFmtId="49" fontId="27" fillId="2" borderId="37" xfId="0" applyNumberFormat="1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49" fontId="26" fillId="3" borderId="26" xfId="0" applyNumberFormat="1" applyFont="1" applyFill="1" applyBorder="1" applyAlignment="1">
      <alignment horizontal="center" vertical="center"/>
    </xf>
    <xf numFmtId="167" fontId="28" fillId="2" borderId="41" xfId="0" applyNumberFormat="1" applyFont="1" applyFill="1" applyBorder="1" applyAlignment="1">
      <alignment horizontal="center" vertical="center" wrapText="1"/>
    </xf>
    <xf numFmtId="167" fontId="26" fillId="18" borderId="8" xfId="0" applyNumberFormat="1" applyFont="1" applyFill="1" applyBorder="1" applyAlignment="1">
      <alignment horizontal="center" vertical="center"/>
    </xf>
    <xf numFmtId="167" fontId="41" fillId="18" borderId="34" xfId="0" applyNumberFormat="1" applyFont="1" applyFill="1" applyBorder="1" applyAlignment="1">
      <alignment horizontal="center" vertical="center"/>
    </xf>
    <xf numFmtId="167" fontId="28" fillId="2" borderId="33" xfId="0" applyNumberFormat="1" applyFont="1" applyFill="1" applyBorder="1" applyAlignment="1">
      <alignment horizontal="center" vertical="center" wrapText="1"/>
    </xf>
    <xf numFmtId="169" fontId="27" fillId="2" borderId="29" xfId="0" applyNumberFormat="1" applyFont="1" applyFill="1" applyBorder="1" applyAlignment="1">
      <alignment horizontal="center" vertical="center" wrapText="1"/>
    </xf>
    <xf numFmtId="169" fontId="25" fillId="3" borderId="19" xfId="0" applyNumberFormat="1" applyFont="1" applyFill="1" applyBorder="1" applyAlignment="1">
      <alignment horizontal="center" vertical="center"/>
    </xf>
    <xf numFmtId="169" fontId="25" fillId="18" borderId="19" xfId="0" applyNumberFormat="1" applyFont="1" applyFill="1" applyBorder="1" applyAlignment="1">
      <alignment horizontal="center" vertical="center"/>
    </xf>
    <xf numFmtId="167" fontId="26" fillId="7" borderId="24" xfId="0" applyNumberFormat="1" applyFont="1" applyFill="1" applyBorder="1" applyAlignment="1">
      <alignment horizontal="center" vertical="center"/>
    </xf>
    <xf numFmtId="169" fontId="25" fillId="7" borderId="23" xfId="0" applyNumberFormat="1" applyFont="1" applyFill="1" applyBorder="1" applyAlignment="1">
      <alignment horizontal="center" vertical="center"/>
    </xf>
    <xf numFmtId="167" fontId="26" fillId="3" borderId="8" xfId="0" applyNumberFormat="1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 wrapText="1"/>
    </xf>
    <xf numFmtId="49" fontId="29" fillId="3" borderId="9" xfId="0" applyNumberFormat="1" applyFont="1" applyFill="1" applyBorder="1" applyAlignment="1">
      <alignment horizontal="center" vertical="center" wrapText="1"/>
    </xf>
    <xf numFmtId="169" fontId="27" fillId="2" borderId="44" xfId="0" applyNumberFormat="1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center" vertical="center" wrapText="1"/>
    </xf>
    <xf numFmtId="0" fontId="25" fillId="18" borderId="45" xfId="0" applyFont="1" applyFill="1" applyBorder="1" applyAlignment="1">
      <alignment horizontal="center" vertical="center" wrapText="1"/>
    </xf>
    <xf numFmtId="49" fontId="27" fillId="2" borderId="36" xfId="0" applyNumberFormat="1" applyFont="1" applyFill="1" applyBorder="1" applyAlignment="1">
      <alignment horizontal="center" vertical="center" wrapText="1"/>
    </xf>
    <xf numFmtId="49" fontId="25" fillId="3" borderId="34" xfId="0" applyNumberFormat="1" applyFont="1" applyFill="1" applyBorder="1" applyAlignment="1">
      <alignment horizontal="center" vertical="center"/>
    </xf>
    <xf numFmtId="49" fontId="25" fillId="18" borderId="34" xfId="0" applyNumberFormat="1" applyFont="1" applyFill="1" applyBorder="1" applyAlignment="1">
      <alignment horizontal="center" vertical="center"/>
    </xf>
    <xf numFmtId="0" fontId="25" fillId="18" borderId="19" xfId="0" applyFont="1" applyFill="1" applyBorder="1" applyAlignment="1">
      <alignment horizontal="center" vertical="center"/>
    </xf>
    <xf numFmtId="0" fontId="25" fillId="18" borderId="18" xfId="0" applyFont="1" applyFill="1" applyBorder="1" applyAlignment="1">
      <alignment horizontal="center" vertical="center"/>
    </xf>
    <xf numFmtId="164" fontId="27" fillId="2" borderId="33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9" fillId="5" borderId="0" xfId="0" applyFont="1" applyFill="1"/>
    <xf numFmtId="49" fontId="29" fillId="5" borderId="0" xfId="0" applyNumberFormat="1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164" fontId="29" fillId="5" borderId="0" xfId="0" applyNumberFormat="1" applyFont="1" applyFill="1" applyAlignment="1">
      <alignment horizontal="center" vertical="center"/>
    </xf>
    <xf numFmtId="165" fontId="29" fillId="5" borderId="0" xfId="0" applyNumberFormat="1" applyFont="1" applyFill="1" applyAlignment="1">
      <alignment horizontal="center" vertical="center"/>
    </xf>
    <xf numFmtId="0" fontId="29" fillId="5" borderId="1" xfId="0" applyFont="1" applyFill="1" applyBorder="1" applyAlignment="1">
      <alignment vertical="center" wrapText="1"/>
    </xf>
    <xf numFmtId="49" fontId="29" fillId="5" borderId="1" xfId="0" applyNumberFormat="1" applyFont="1" applyFill="1" applyBorder="1" applyAlignment="1">
      <alignment vertical="center" wrapText="1"/>
    </xf>
    <xf numFmtId="49" fontId="29" fillId="5" borderId="0" xfId="0" applyNumberFormat="1" applyFont="1" applyFill="1" applyAlignment="1">
      <alignment vertical="center" wrapText="1"/>
    </xf>
    <xf numFmtId="166" fontId="38" fillId="5" borderId="0" xfId="0" applyNumberFormat="1" applyFont="1" applyFill="1" applyAlignment="1">
      <alignment horizontal="center" vertical="center"/>
    </xf>
    <xf numFmtId="167" fontId="38" fillId="5" borderId="0" xfId="0" applyNumberFormat="1" applyFont="1" applyFill="1" applyAlignment="1">
      <alignment horizontal="center" vertical="center"/>
    </xf>
    <xf numFmtId="168" fontId="29" fillId="5" borderId="0" xfId="0" applyNumberFormat="1" applyFont="1" applyFill="1" applyAlignment="1">
      <alignment horizontal="center" vertical="center"/>
    </xf>
    <xf numFmtId="169" fontId="29" fillId="5" borderId="0" xfId="0" applyNumberFormat="1" applyFont="1" applyFill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38" fillId="5" borderId="0" xfId="0" applyFont="1" applyFill="1" applyAlignment="1">
      <alignment vertical="center" wrapText="1"/>
    </xf>
    <xf numFmtId="0" fontId="29" fillId="5" borderId="39" xfId="0" applyFont="1" applyFill="1" applyBorder="1" applyAlignment="1">
      <alignment vertical="center" wrapText="1"/>
    </xf>
    <xf numFmtId="0" fontId="29" fillId="5" borderId="14" xfId="0" applyFont="1" applyFill="1" applyBorder="1" applyAlignment="1">
      <alignment vertical="center" wrapText="1"/>
    </xf>
    <xf numFmtId="0" fontId="29" fillId="5" borderId="40" xfId="0" applyFont="1" applyFill="1" applyBorder="1" applyAlignment="1">
      <alignment vertical="center" wrapText="1"/>
    </xf>
    <xf numFmtId="0" fontId="29" fillId="5" borderId="0" xfId="0" applyFont="1" applyFill="1" applyAlignment="1">
      <alignment vertical="center" wrapText="1"/>
    </xf>
    <xf numFmtId="0" fontId="29" fillId="5" borderId="4" xfId="0" applyFont="1" applyFill="1" applyBorder="1" applyAlignment="1">
      <alignment horizontal="center" vertical="center" wrapText="1"/>
    </xf>
    <xf numFmtId="167" fontId="29" fillId="5" borderId="0" xfId="0" applyNumberFormat="1" applyFont="1" applyFill="1" applyAlignment="1">
      <alignment vertical="center"/>
    </xf>
    <xf numFmtId="0" fontId="29" fillId="5" borderId="13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167" fontId="30" fillId="3" borderId="1" xfId="0" applyNumberFormat="1" applyFont="1" applyFill="1" applyBorder="1" applyAlignment="1">
      <alignment vertical="center"/>
    </xf>
    <xf numFmtId="0" fontId="25" fillId="3" borderId="19" xfId="0" applyFont="1" applyFill="1" applyBorder="1" applyAlignment="1">
      <alignment horizontal="center" vertical="center"/>
    </xf>
    <xf numFmtId="167" fontId="25" fillId="3" borderId="18" xfId="0" applyNumberFormat="1" applyFont="1" applyFill="1" applyBorder="1" applyAlignment="1">
      <alignment vertical="center"/>
    </xf>
    <xf numFmtId="167" fontId="25" fillId="3" borderId="1" xfId="0" applyNumberFormat="1" applyFont="1" applyFill="1" applyBorder="1" applyAlignment="1">
      <alignment vertical="center"/>
    </xf>
    <xf numFmtId="0" fontId="25" fillId="3" borderId="9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7" fontId="38" fillId="3" borderId="8" xfId="0" applyNumberFormat="1" applyFont="1" applyFill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167" fontId="29" fillId="5" borderId="0" xfId="0" applyNumberFormat="1" applyFont="1" applyFill="1" applyAlignment="1">
      <alignment horizontal="center" vertical="center"/>
    </xf>
    <xf numFmtId="167" fontId="25" fillId="7" borderId="25" xfId="0" applyNumberFormat="1" applyFont="1" applyFill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27" fillId="2" borderId="27" xfId="0" applyNumberFormat="1" applyFont="1" applyFill="1" applyBorder="1" applyAlignment="1">
      <alignment horizontal="center" vertical="center" wrapText="1"/>
    </xf>
    <xf numFmtId="167" fontId="27" fillId="2" borderId="28" xfId="0" applyNumberFormat="1" applyFont="1" applyFill="1" applyBorder="1" applyAlignment="1">
      <alignment horizontal="center" vertical="center" wrapText="1"/>
    </xf>
    <xf numFmtId="167" fontId="29" fillId="3" borderId="18" xfId="0" applyNumberFormat="1" applyFont="1" applyFill="1" applyBorder="1" applyAlignment="1">
      <alignment horizontal="center" vertical="center"/>
    </xf>
    <xf numFmtId="167" fontId="29" fillId="3" borderId="9" xfId="0" applyNumberFormat="1" applyFont="1" applyFill="1" applyBorder="1" applyAlignment="1">
      <alignment horizontal="center" vertical="center"/>
    </xf>
    <xf numFmtId="167" fontId="25" fillId="18" borderId="18" xfId="0" applyNumberFormat="1" applyFont="1" applyFill="1" applyBorder="1" applyAlignment="1">
      <alignment horizontal="center" vertical="center"/>
    </xf>
    <xf numFmtId="167" fontId="25" fillId="18" borderId="1" xfId="0" applyNumberFormat="1" applyFont="1" applyFill="1" applyBorder="1" applyAlignment="1">
      <alignment horizontal="center" vertical="center"/>
    </xf>
    <xf numFmtId="167" fontId="31" fillId="18" borderId="18" xfId="0" applyNumberFormat="1" applyFont="1" applyFill="1" applyBorder="1" applyAlignment="1">
      <alignment horizontal="center" vertical="center"/>
    </xf>
    <xf numFmtId="167" fontId="31" fillId="18" borderId="9" xfId="0" applyNumberFormat="1" applyFont="1" applyFill="1" applyBorder="1" applyAlignment="1">
      <alignment horizontal="center" vertical="center"/>
    </xf>
    <xf numFmtId="167" fontId="25" fillId="7" borderId="2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left" vertical="center"/>
    </xf>
    <xf numFmtId="0" fontId="26" fillId="18" borderId="18" xfId="0" applyFont="1" applyFill="1" applyBorder="1" applyAlignment="1">
      <alignment horizontal="center" vertical="center"/>
    </xf>
    <xf numFmtId="49" fontId="26" fillId="18" borderId="26" xfId="0" applyNumberFormat="1" applyFont="1" applyFill="1" applyBorder="1" applyAlignment="1">
      <alignment horizontal="center" vertical="center"/>
    </xf>
    <xf numFmtId="49" fontId="29" fillId="18" borderId="9" xfId="0" applyNumberFormat="1" applyFont="1" applyFill="1" applyBorder="1" applyAlignment="1">
      <alignment horizontal="center" vertical="center" wrapText="1"/>
    </xf>
    <xf numFmtId="0" fontId="29" fillId="18" borderId="8" xfId="0" applyFont="1" applyFill="1" applyBorder="1" applyAlignment="1">
      <alignment horizontal="center" vertical="center" wrapText="1"/>
    </xf>
    <xf numFmtId="0" fontId="25" fillId="18" borderId="18" xfId="0" applyFont="1" applyFill="1" applyBorder="1" applyAlignment="1">
      <alignment horizontal="center" vertical="center" wrapText="1"/>
    </xf>
    <xf numFmtId="167" fontId="30" fillId="18" borderId="1" xfId="0" applyNumberFormat="1" applyFont="1" applyFill="1" applyBorder="1" applyAlignment="1">
      <alignment vertical="center"/>
    </xf>
    <xf numFmtId="167" fontId="25" fillId="18" borderId="18" xfId="0" applyNumberFormat="1" applyFont="1" applyFill="1" applyBorder="1" applyAlignment="1">
      <alignment vertical="center"/>
    </xf>
    <xf numFmtId="167" fontId="25" fillId="18" borderId="1" xfId="0" applyNumberFormat="1" applyFont="1" applyFill="1" applyBorder="1" applyAlignment="1">
      <alignment vertical="center"/>
    </xf>
    <xf numFmtId="49" fontId="25" fillId="0" borderId="43" xfId="0" applyNumberFormat="1" applyFont="1" applyBorder="1" applyAlignment="1">
      <alignment horizontal="center" vertical="center"/>
    </xf>
    <xf numFmtId="49" fontId="25" fillId="0" borderId="9" xfId="0" applyNumberFormat="1" applyFont="1" applyBorder="1" applyAlignment="1">
      <alignment horizontal="center" vertical="center"/>
    </xf>
    <xf numFmtId="0" fontId="31" fillId="18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0" fontId="2" fillId="2" borderId="5" xfId="0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0" fontId="4" fillId="4" borderId="0" xfId="0" applyFont="1" applyFill="1"/>
    <xf numFmtId="0" fontId="9" fillId="4" borderId="0" xfId="0" quotePrefix="1" applyFont="1" applyFill="1" applyAlignment="1">
      <alignment horizontal="center" vertical="center"/>
    </xf>
    <xf numFmtId="167" fontId="9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/>
    <xf numFmtId="0" fontId="9" fillId="6" borderId="0" xfId="0" quotePrefix="1" applyFont="1" applyFill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5" fillId="6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right" vertical="center"/>
    </xf>
    <xf numFmtId="49" fontId="1" fillId="0" borderId="6" xfId="0" applyNumberFormat="1" applyFont="1" applyBorder="1" applyAlignment="1">
      <alignment horizontal="left" vertical="center"/>
    </xf>
    <xf numFmtId="167" fontId="9" fillId="4" borderId="3" xfId="0" quotePrefix="1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67" fontId="43" fillId="4" borderId="2" xfId="0" applyNumberFormat="1" applyFont="1" applyFill="1" applyBorder="1" applyAlignment="1">
      <alignment horizontal="center" vertical="center"/>
    </xf>
    <xf numFmtId="167" fontId="5" fillId="6" borderId="0" xfId="0" applyNumberFormat="1" applyFont="1" applyFill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left"/>
    </xf>
    <xf numFmtId="0" fontId="46" fillId="0" borderId="0" xfId="0" applyFont="1"/>
    <xf numFmtId="49" fontId="46" fillId="2" borderId="2" xfId="0" applyNumberFormat="1" applyFont="1" applyFill="1" applyBorder="1" applyAlignment="1">
      <alignment horizontal="center" vertical="center" wrapText="1"/>
    </xf>
    <xf numFmtId="49" fontId="44" fillId="0" borderId="3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49" fontId="48" fillId="0" borderId="6" xfId="0" applyNumberFormat="1" applyFont="1" applyBorder="1" applyAlignment="1">
      <alignment horizontal="left" vertical="center"/>
    </xf>
    <xf numFmtId="49" fontId="44" fillId="0" borderId="6" xfId="0" applyNumberFormat="1" applyFont="1" applyBorder="1" applyAlignment="1">
      <alignment horizontal="center" vertical="center"/>
    </xf>
    <xf numFmtId="49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9" fontId="44" fillId="0" borderId="2" xfId="0" applyNumberFormat="1" applyFont="1" applyBorder="1" applyAlignment="1">
      <alignment horizontal="center" vertical="center"/>
    </xf>
    <xf numFmtId="0" fontId="50" fillId="0" borderId="2" xfId="0" applyFont="1" applyBorder="1" applyAlignment="1">
      <alignment vertical="center" wrapText="1"/>
    </xf>
    <xf numFmtId="49" fontId="50" fillId="0" borderId="2" xfId="0" applyNumberFormat="1" applyFont="1" applyBorder="1" applyAlignment="1">
      <alignment vertical="center" wrapText="1"/>
    </xf>
    <xf numFmtId="166" fontId="48" fillId="0" borderId="2" xfId="0" applyNumberFormat="1" applyFont="1" applyBorder="1" applyAlignment="1">
      <alignment horizontal="center" vertical="center"/>
    </xf>
    <xf numFmtId="167" fontId="51" fillId="0" borderId="2" xfId="0" applyNumberFormat="1" applyFont="1" applyBorder="1" applyAlignment="1">
      <alignment horizontal="center" vertical="center"/>
    </xf>
    <xf numFmtId="168" fontId="51" fillId="0" borderId="2" xfId="0" applyNumberFormat="1" applyFont="1" applyBorder="1" applyAlignment="1">
      <alignment horizontal="center" vertical="center"/>
    </xf>
    <xf numFmtId="167" fontId="48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49" fontId="51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vertical="center" wrapText="1"/>
    </xf>
    <xf numFmtId="167" fontId="53" fillId="0" borderId="2" xfId="0" applyNumberFormat="1" applyFont="1" applyBorder="1" applyAlignment="1">
      <alignment vertical="center"/>
    </xf>
    <xf numFmtId="167" fontId="44" fillId="0" borderId="2" xfId="0" applyNumberFormat="1" applyFont="1" applyBorder="1" applyAlignment="1">
      <alignment vertical="center"/>
    </xf>
    <xf numFmtId="164" fontId="50" fillId="0" borderId="2" xfId="0" applyNumberFormat="1" applyFont="1" applyBorder="1" applyAlignment="1">
      <alignment horizontal="center" vertical="center"/>
    </xf>
    <xf numFmtId="166" fontId="49" fillId="0" borderId="2" xfId="0" applyNumberFormat="1" applyFont="1" applyBorder="1" applyAlignment="1">
      <alignment horizontal="center" vertical="center"/>
    </xf>
    <xf numFmtId="167" fontId="50" fillId="0" borderId="2" xfId="0" applyNumberFormat="1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vertical="center" wrapText="1"/>
    </xf>
    <xf numFmtId="49" fontId="44" fillId="0" borderId="2" xfId="0" applyNumberFormat="1" applyFont="1" applyBorder="1" applyAlignment="1">
      <alignment vertical="center" wrapText="1"/>
    </xf>
    <xf numFmtId="170" fontId="48" fillId="0" borderId="2" xfId="0" applyNumberFormat="1" applyFont="1" applyBorder="1" applyAlignment="1">
      <alignment horizontal="center" vertical="center"/>
    </xf>
    <xf numFmtId="167" fontId="44" fillId="0" borderId="2" xfId="0" applyNumberFormat="1" applyFont="1" applyBorder="1" applyAlignment="1">
      <alignment horizontal="center" vertical="center"/>
    </xf>
    <xf numFmtId="0" fontId="54" fillId="0" borderId="2" xfId="0" applyFont="1" applyBorder="1" applyAlignment="1">
      <alignment vertical="center" wrapText="1"/>
    </xf>
    <xf numFmtId="0" fontId="51" fillId="0" borderId="2" xfId="0" applyFont="1" applyBorder="1" applyAlignment="1">
      <alignment vertical="center" wrapText="1"/>
    </xf>
    <xf numFmtId="0" fontId="51" fillId="0" borderId="2" xfId="0" applyFont="1" applyBorder="1" applyAlignment="1">
      <alignment horizontal="center" vertical="center"/>
    </xf>
    <xf numFmtId="168" fontId="44" fillId="0" borderId="2" xfId="0" applyNumberFormat="1" applyFont="1" applyBorder="1" applyAlignment="1">
      <alignment horizontal="center" vertical="center"/>
    </xf>
    <xf numFmtId="172" fontId="48" fillId="0" borderId="2" xfId="0" applyNumberFormat="1" applyFont="1" applyBorder="1" applyAlignment="1">
      <alignment horizontal="center" vertical="center"/>
    </xf>
    <xf numFmtId="171" fontId="48" fillId="0" borderId="2" xfId="0" applyNumberFormat="1" applyFont="1" applyBorder="1" applyAlignment="1">
      <alignment horizontal="center" vertical="center"/>
    </xf>
    <xf numFmtId="0" fontId="44" fillId="6" borderId="0" xfId="0" applyFont="1" applyFill="1"/>
    <xf numFmtId="49" fontId="48" fillId="6" borderId="12" xfId="0" applyNumberFormat="1" applyFont="1" applyFill="1" applyBorder="1" applyAlignment="1">
      <alignment vertical="center"/>
    </xf>
    <xf numFmtId="167" fontId="48" fillId="6" borderId="3" xfId="0" applyNumberFormat="1" applyFont="1" applyFill="1" applyBorder="1" applyAlignment="1">
      <alignment horizontal="center" vertical="center"/>
    </xf>
    <xf numFmtId="172" fontId="44" fillId="0" borderId="2" xfId="0" applyNumberFormat="1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49" fontId="48" fillId="0" borderId="31" xfId="0" applyNumberFormat="1" applyFont="1" applyBorder="1" applyAlignment="1">
      <alignment horizontal="left" vertical="center"/>
    </xf>
    <xf numFmtId="49" fontId="44" fillId="0" borderId="31" xfId="0" applyNumberFormat="1" applyFont="1" applyBorder="1" applyAlignment="1">
      <alignment horizontal="center" vertical="center"/>
    </xf>
    <xf numFmtId="49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9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vertical="center" wrapText="1"/>
    </xf>
    <xf numFmtId="49" fontId="50" fillId="0" borderId="5" xfId="0" applyNumberFormat="1" applyFont="1" applyBorder="1" applyAlignment="1">
      <alignment vertical="center" wrapText="1"/>
    </xf>
    <xf numFmtId="172" fontId="44" fillId="0" borderId="5" xfId="0" applyNumberFormat="1" applyFont="1" applyBorder="1" applyAlignment="1">
      <alignment horizontal="center" vertical="center"/>
    </xf>
    <xf numFmtId="167" fontId="44" fillId="0" borderId="5" xfId="0" applyNumberFormat="1" applyFont="1" applyBorder="1" applyAlignment="1">
      <alignment horizontal="center" vertical="center"/>
    </xf>
    <xf numFmtId="168" fontId="44" fillId="0" borderId="5" xfId="0" applyNumberFormat="1" applyFont="1" applyBorder="1" applyAlignment="1">
      <alignment horizontal="center" vertical="center"/>
    </xf>
    <xf numFmtId="167" fontId="48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5" xfId="0" applyFont="1" applyBorder="1" applyAlignment="1">
      <alignment vertical="center" wrapText="1"/>
    </xf>
    <xf numFmtId="167" fontId="53" fillId="0" borderId="5" xfId="0" applyNumberFormat="1" applyFont="1" applyBorder="1" applyAlignment="1">
      <alignment vertical="center"/>
    </xf>
    <xf numFmtId="167" fontId="44" fillId="0" borderId="5" xfId="0" applyNumberFormat="1" applyFont="1" applyBorder="1" applyAlignment="1">
      <alignment vertical="center"/>
    </xf>
    <xf numFmtId="49" fontId="44" fillId="6" borderId="3" xfId="0" applyNumberFormat="1" applyFont="1" applyFill="1" applyBorder="1" applyAlignment="1">
      <alignment horizontal="center" vertical="center"/>
    </xf>
    <xf numFmtId="0" fontId="44" fillId="6" borderId="12" xfId="0" applyFont="1" applyFill="1" applyBorder="1" applyAlignment="1">
      <alignment horizontal="center" vertical="center" wrapText="1"/>
    </xf>
    <xf numFmtId="0" fontId="52" fillId="6" borderId="12" xfId="0" applyFont="1" applyFill="1" applyBorder="1" applyAlignment="1">
      <alignment vertical="center" wrapText="1"/>
    </xf>
    <xf numFmtId="167" fontId="53" fillId="6" borderId="12" xfId="0" applyNumberFormat="1" applyFont="1" applyFill="1" applyBorder="1" applyAlignment="1">
      <alignment vertical="center"/>
    </xf>
    <xf numFmtId="0" fontId="44" fillId="6" borderId="12" xfId="0" applyFont="1" applyFill="1" applyBorder="1" applyAlignment="1">
      <alignment horizontal="center" vertical="center"/>
    </xf>
    <xf numFmtId="167" fontId="44" fillId="6" borderId="12" xfId="0" applyNumberFormat="1" applyFont="1" applyFill="1" applyBorder="1" applyAlignment="1">
      <alignment vertical="center"/>
    </xf>
    <xf numFmtId="0" fontId="44" fillId="6" borderId="12" xfId="0" applyFont="1" applyFill="1" applyBorder="1"/>
    <xf numFmtId="167" fontId="44" fillId="0" borderId="0" xfId="0" applyNumberFormat="1" applyFont="1"/>
    <xf numFmtId="14" fontId="48" fillId="4" borderId="6" xfId="0" applyNumberFormat="1" applyFont="1" applyFill="1" applyBorder="1" applyAlignment="1">
      <alignment horizontal="center" vertical="center"/>
    </xf>
    <xf numFmtId="0" fontId="44" fillId="4" borderId="12" xfId="0" applyFont="1" applyFill="1" applyBorder="1"/>
    <xf numFmtId="0" fontId="44" fillId="4" borderId="6" xfId="0" applyFont="1" applyFill="1" applyBorder="1"/>
    <xf numFmtId="0" fontId="48" fillId="0" borderId="2" xfId="0" applyFont="1" applyBorder="1" applyAlignment="1">
      <alignment horizontal="center" vertical="center"/>
    </xf>
    <xf numFmtId="164" fontId="51" fillId="0" borderId="2" xfId="0" applyNumberFormat="1" applyFont="1" applyBorder="1" applyAlignment="1">
      <alignment horizontal="center" vertical="center"/>
    </xf>
    <xf numFmtId="169" fontId="51" fillId="0" borderId="2" xfId="0" applyNumberFormat="1" applyFont="1" applyBorder="1" applyAlignment="1">
      <alignment horizontal="center" vertical="center"/>
    </xf>
    <xf numFmtId="166" fontId="54" fillId="0" borderId="2" xfId="0" applyNumberFormat="1" applyFont="1" applyBorder="1" applyAlignment="1">
      <alignment horizontal="center" vertical="center"/>
    </xf>
    <xf numFmtId="49" fontId="44" fillId="0" borderId="11" xfId="0" applyNumberFormat="1" applyFont="1" applyBorder="1" applyAlignment="1">
      <alignment horizontal="center" vertical="center"/>
    </xf>
    <xf numFmtId="167" fontId="53" fillId="6" borderId="3" xfId="0" applyNumberFormat="1" applyFont="1" applyFill="1" applyBorder="1" applyAlignment="1">
      <alignment vertical="center"/>
    </xf>
    <xf numFmtId="167" fontId="53" fillId="6" borderId="6" xfId="0" applyNumberFormat="1" applyFont="1" applyFill="1" applyBorder="1" applyAlignment="1">
      <alignment vertical="center"/>
    </xf>
    <xf numFmtId="0" fontId="44" fillId="6" borderId="6" xfId="0" applyFont="1" applyFill="1" applyBorder="1"/>
    <xf numFmtId="49" fontId="51" fillId="19" borderId="2" xfId="0" applyNumberFormat="1" applyFont="1" applyFill="1" applyBorder="1" applyAlignment="1">
      <alignment horizontal="center" vertical="center" wrapText="1"/>
    </xf>
    <xf numFmtId="0" fontId="51" fillId="19" borderId="2" xfId="0" applyFont="1" applyFill="1" applyBorder="1" applyAlignment="1">
      <alignment horizontal="center" vertical="center" wrapText="1"/>
    </xf>
    <xf numFmtId="164" fontId="51" fillId="19" borderId="2" xfId="0" applyNumberFormat="1" applyFont="1" applyFill="1" applyBorder="1" applyAlignment="1">
      <alignment horizontal="center" vertical="center" wrapText="1"/>
    </xf>
    <xf numFmtId="165" fontId="51" fillId="19" borderId="2" xfId="0" applyNumberFormat="1" applyFont="1" applyFill="1" applyBorder="1" applyAlignment="1">
      <alignment horizontal="center" vertical="center" wrapText="1"/>
    </xf>
    <xf numFmtId="167" fontId="51" fillId="19" borderId="2" xfId="0" applyNumberFormat="1" applyFont="1" applyFill="1" applyBorder="1" applyAlignment="1">
      <alignment horizontal="center" vertical="center" wrapText="1"/>
    </xf>
    <xf numFmtId="168" fontId="51" fillId="19" borderId="2" xfId="0" applyNumberFormat="1" applyFont="1" applyFill="1" applyBorder="1" applyAlignment="1">
      <alignment horizontal="center" vertical="center" wrapText="1"/>
    </xf>
    <xf numFmtId="169" fontId="51" fillId="19" borderId="2" xfId="0" applyNumberFormat="1" applyFont="1" applyFill="1" applyBorder="1" applyAlignment="1">
      <alignment horizontal="center" vertical="center" wrapText="1"/>
    </xf>
    <xf numFmtId="1" fontId="51" fillId="19" borderId="2" xfId="0" applyNumberFormat="1" applyFont="1" applyFill="1" applyBorder="1" applyAlignment="1">
      <alignment horizontal="center" vertical="center" wrapText="1"/>
    </xf>
    <xf numFmtId="166" fontId="51" fillId="19" borderId="2" xfId="0" applyNumberFormat="1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49" fontId="44" fillId="0" borderId="6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center" vertical="center"/>
    </xf>
    <xf numFmtId="167" fontId="44" fillId="0" borderId="31" xfId="0" applyNumberFormat="1" applyFont="1" applyBorder="1" applyAlignment="1">
      <alignment horizontal="center" vertical="center"/>
    </xf>
    <xf numFmtId="167" fontId="48" fillId="6" borderId="2" xfId="0" applyNumberFormat="1" applyFont="1" applyFill="1" applyBorder="1" applyAlignment="1">
      <alignment horizontal="center" vertical="center" wrapText="1"/>
    </xf>
    <xf numFmtId="167" fontId="48" fillId="4" borderId="2" xfId="0" applyNumberFormat="1" applyFont="1" applyFill="1" applyBorder="1" applyAlignment="1">
      <alignment horizontal="center" vertical="center" wrapText="1"/>
    </xf>
    <xf numFmtId="49" fontId="44" fillId="6" borderId="6" xfId="0" applyNumberFormat="1" applyFont="1" applyFill="1" applyBorder="1" applyAlignment="1">
      <alignment horizontal="left" vertical="center"/>
    </xf>
    <xf numFmtId="49" fontId="44" fillId="6" borderId="6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0" fontId="44" fillId="6" borderId="2" xfId="0" applyFont="1" applyFill="1" applyBorder="1" applyAlignment="1">
      <alignment horizontal="center" vertical="center"/>
    </xf>
    <xf numFmtId="164" fontId="44" fillId="6" borderId="2" xfId="0" applyNumberFormat="1" applyFont="1" applyFill="1" applyBorder="1" applyAlignment="1">
      <alignment horizontal="center" vertical="center"/>
    </xf>
    <xf numFmtId="169" fontId="44" fillId="6" borderId="2" xfId="0" applyNumberFormat="1" applyFont="1" applyFill="1" applyBorder="1" applyAlignment="1">
      <alignment horizontal="center" vertical="center"/>
    </xf>
    <xf numFmtId="0" fontId="44" fillId="6" borderId="2" xfId="0" applyFont="1" applyFill="1" applyBorder="1" applyAlignment="1">
      <alignment vertical="center" wrapText="1"/>
    </xf>
    <xf numFmtId="49" fontId="50" fillId="6" borderId="2" xfId="0" applyNumberFormat="1" applyFont="1" applyFill="1" applyBorder="1" applyAlignment="1">
      <alignment vertical="center" wrapText="1"/>
    </xf>
    <xf numFmtId="166" fontId="50" fillId="6" borderId="2" xfId="0" applyNumberFormat="1" applyFont="1" applyFill="1" applyBorder="1" applyAlignment="1">
      <alignment horizontal="center" vertical="center"/>
    </xf>
    <xf numFmtId="167" fontId="44" fillId="6" borderId="2" xfId="0" applyNumberFormat="1" applyFont="1" applyFill="1" applyBorder="1" applyAlignment="1">
      <alignment horizontal="center" vertical="center"/>
    </xf>
    <xf numFmtId="168" fontId="44" fillId="6" borderId="2" xfId="0" applyNumberFormat="1" applyFont="1" applyFill="1" applyBorder="1" applyAlignment="1">
      <alignment horizontal="center" vertical="center"/>
    </xf>
    <xf numFmtId="167" fontId="48" fillId="6" borderId="2" xfId="0" applyNumberFormat="1" applyFont="1" applyFill="1" applyBorder="1" applyAlignment="1">
      <alignment horizontal="center" vertical="center"/>
    </xf>
    <xf numFmtId="0" fontId="44" fillId="6" borderId="2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vertical="center" wrapText="1"/>
    </xf>
    <xf numFmtId="167" fontId="53" fillId="6" borderId="2" xfId="0" applyNumberFormat="1" applyFont="1" applyFill="1" applyBorder="1" applyAlignment="1">
      <alignment vertical="center"/>
    </xf>
    <xf numFmtId="167" fontId="44" fillId="6" borderId="2" xfId="0" applyNumberFormat="1" applyFont="1" applyFill="1" applyBorder="1" applyAlignment="1">
      <alignment vertical="center"/>
    </xf>
    <xf numFmtId="164" fontId="4" fillId="19" borderId="2" xfId="0" applyNumberFormat="1" applyFont="1" applyFill="1" applyBorder="1" applyAlignment="1">
      <alignment horizontal="center" vertical="center" wrapText="1"/>
    </xf>
    <xf numFmtId="49" fontId="29" fillId="19" borderId="2" xfId="0" applyNumberFormat="1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165" fontId="4" fillId="19" borderId="2" xfId="0" applyNumberFormat="1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vertical="center" wrapText="1"/>
    </xf>
    <xf numFmtId="49" fontId="4" fillId="19" borderId="2" xfId="0" applyNumberFormat="1" applyFont="1" applyFill="1" applyBorder="1" applyAlignment="1">
      <alignment horizontal="center" vertical="center" wrapText="1"/>
    </xf>
    <xf numFmtId="166" fontId="4" fillId="19" borderId="2" xfId="0" applyNumberFormat="1" applyFont="1" applyFill="1" applyBorder="1" applyAlignment="1">
      <alignment horizontal="center" vertical="center" wrapText="1"/>
    </xf>
    <xf numFmtId="167" fontId="4" fillId="19" borderId="2" xfId="0" applyNumberFormat="1" applyFont="1" applyFill="1" applyBorder="1" applyAlignment="1">
      <alignment horizontal="center" vertical="center" wrapText="1"/>
    </xf>
    <xf numFmtId="167" fontId="38" fillId="19" borderId="2" xfId="0" applyNumberFormat="1" applyFont="1" applyFill="1" applyBorder="1" applyAlignment="1">
      <alignment horizontal="center" vertical="center" wrapText="1"/>
    </xf>
    <xf numFmtId="168" fontId="29" fillId="19" borderId="2" xfId="0" applyNumberFormat="1" applyFont="1" applyFill="1" applyBorder="1" applyAlignment="1">
      <alignment horizontal="center" vertical="center" wrapText="1"/>
    </xf>
    <xf numFmtId="169" fontId="4" fillId="19" borderId="2" xfId="0" applyNumberFormat="1" applyFont="1" applyFill="1" applyBorder="1" applyAlignment="1">
      <alignment horizontal="center" vertical="center" wrapText="1"/>
    </xf>
    <xf numFmtId="167" fontId="9" fillId="19" borderId="2" xfId="0" applyNumberFormat="1" applyFont="1" applyFill="1" applyBorder="1" applyAlignment="1">
      <alignment horizontal="center" vertical="center" wrapText="1"/>
    </xf>
    <xf numFmtId="1" fontId="4" fillId="19" borderId="2" xfId="0" applyNumberFormat="1" applyFont="1" applyFill="1" applyBorder="1" applyAlignment="1">
      <alignment horizontal="center" vertical="center" wrapText="1"/>
    </xf>
    <xf numFmtId="167" fontId="3" fillId="3" borderId="2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49" fontId="25" fillId="20" borderId="43" xfId="0" applyNumberFormat="1" applyFont="1" applyFill="1" applyBorder="1" applyAlignment="1">
      <alignment horizontal="center" vertical="center"/>
    </xf>
    <xf numFmtId="0" fontId="29" fillId="0" borderId="0" xfId="0" applyFont="1"/>
    <xf numFmtId="49" fontId="25" fillId="18" borderId="18" xfId="0" applyNumberFormat="1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vertical="center" wrapText="1"/>
    </xf>
    <xf numFmtId="167" fontId="25" fillId="0" borderId="0" xfId="0" applyNumberFormat="1" applyFont="1"/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/>
    <xf numFmtId="0" fontId="1" fillId="0" borderId="6" xfId="0" applyFont="1" applyBorder="1"/>
    <xf numFmtId="0" fontId="33" fillId="18" borderId="19" xfId="0" applyFont="1" applyFill="1" applyBorder="1" applyAlignment="1">
      <alignment vertical="center" wrapText="1"/>
    </xf>
    <xf numFmtId="164" fontId="29" fillId="18" borderId="9" xfId="0" applyNumberFormat="1" applyFont="1" applyFill="1" applyBorder="1" applyAlignment="1">
      <alignment horizontal="center" vertical="center"/>
    </xf>
    <xf numFmtId="0" fontId="25" fillId="18" borderId="26" xfId="0" applyFont="1" applyFill="1" applyBorder="1" applyAlignment="1">
      <alignment horizontal="center" vertical="center"/>
    </xf>
    <xf numFmtId="169" fontId="29" fillId="18" borderId="1" xfId="0" applyNumberFormat="1" applyFont="1" applyFill="1" applyBorder="1" applyAlignment="1">
      <alignment horizontal="center" vertical="center"/>
    </xf>
    <xf numFmtId="166" fontId="38" fillId="18" borderId="18" xfId="0" applyNumberFormat="1" applyFont="1" applyFill="1" applyBorder="1" applyAlignment="1">
      <alignment horizontal="center" vertical="center"/>
    </xf>
    <xf numFmtId="169" fontId="29" fillId="18" borderId="19" xfId="0" applyNumberFormat="1" applyFont="1" applyFill="1" applyBorder="1" applyAlignment="1">
      <alignment horizontal="center" vertical="center"/>
    </xf>
    <xf numFmtId="0" fontId="26" fillId="18" borderId="19" xfId="0" applyFont="1" applyFill="1" applyBorder="1" applyAlignment="1">
      <alignment horizontal="center" vertical="center"/>
    </xf>
    <xf numFmtId="49" fontId="44" fillId="0" borderId="3" xfId="0" applyNumberFormat="1" applyFont="1" applyBorder="1" applyAlignment="1">
      <alignment vertical="center" wrapText="1"/>
    </xf>
    <xf numFmtId="166" fontId="51" fillId="0" borderId="2" xfId="0" applyNumberFormat="1" applyFont="1" applyBorder="1" applyAlignment="1">
      <alignment horizontal="center" vertical="center"/>
    </xf>
    <xf numFmtId="166" fontId="44" fillId="0" borderId="2" xfId="0" applyNumberFormat="1" applyFont="1" applyBorder="1" applyAlignment="1">
      <alignment horizontal="center" vertical="center"/>
    </xf>
    <xf numFmtId="173" fontId="44" fillId="0" borderId="2" xfId="0" applyNumberFormat="1" applyFont="1" applyBorder="1" applyAlignment="1">
      <alignment horizontal="center" vertical="center"/>
    </xf>
    <xf numFmtId="166" fontId="50" fillId="0" borderId="2" xfId="0" applyNumberFormat="1" applyFont="1" applyBorder="1" applyAlignment="1">
      <alignment horizontal="center" vertical="center"/>
    </xf>
    <xf numFmtId="173" fontId="51" fillId="0" borderId="2" xfId="0" applyNumberFormat="1" applyFont="1" applyBorder="1" applyAlignment="1">
      <alignment horizontal="center" vertical="center"/>
    </xf>
    <xf numFmtId="170" fontId="44" fillId="0" borderId="2" xfId="0" applyNumberFormat="1" applyFont="1" applyBorder="1" applyAlignment="1">
      <alignment horizontal="center" vertical="center"/>
    </xf>
    <xf numFmtId="49" fontId="25" fillId="0" borderId="10" xfId="0" applyNumberFormat="1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6" fontId="4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167" fontId="44" fillId="0" borderId="3" xfId="0" applyNumberFormat="1" applyFont="1" applyBorder="1" applyAlignment="1">
      <alignment horizontal="center" vertical="center"/>
    </xf>
    <xf numFmtId="168" fontId="50" fillId="0" borderId="2" xfId="0" applyNumberFormat="1" applyFont="1" applyBorder="1" applyAlignment="1">
      <alignment horizontal="center" vertical="center"/>
    </xf>
    <xf numFmtId="0" fontId="55" fillId="6" borderId="12" xfId="0" applyFont="1" applyFill="1" applyBorder="1" applyAlignment="1">
      <alignment vertical="center" wrapText="1"/>
    </xf>
    <xf numFmtId="167" fontId="0" fillId="0" borderId="1" xfId="0" applyNumberFormat="1" applyBorder="1"/>
    <xf numFmtId="167" fontId="51" fillId="0" borderId="3" xfId="0" applyNumberFormat="1" applyFont="1" applyBorder="1" applyAlignment="1">
      <alignment horizontal="center" vertical="center"/>
    </xf>
    <xf numFmtId="167" fontId="50" fillId="0" borderId="3" xfId="0" applyNumberFormat="1" applyFont="1" applyBorder="1" applyAlignment="1">
      <alignment horizontal="center" vertical="center"/>
    </xf>
    <xf numFmtId="167" fontId="44" fillId="0" borderId="30" xfId="0" applyNumberFormat="1" applyFont="1" applyBorder="1" applyAlignment="1">
      <alignment horizontal="center" vertical="center"/>
    </xf>
    <xf numFmtId="49" fontId="51" fillId="0" borderId="6" xfId="0" applyNumberFormat="1" applyFont="1" applyBorder="1" applyAlignment="1">
      <alignment horizontal="center" vertical="center" wrapText="1"/>
    </xf>
    <xf numFmtId="49" fontId="51" fillId="0" borderId="31" xfId="0" applyNumberFormat="1" applyFont="1" applyBorder="1" applyAlignment="1">
      <alignment horizontal="center" vertical="center" wrapText="1"/>
    </xf>
    <xf numFmtId="0" fontId="44" fillId="6" borderId="6" xfId="0" applyFont="1" applyFill="1" applyBorder="1" applyAlignment="1">
      <alignment horizontal="center" vertical="center"/>
    </xf>
    <xf numFmtId="0" fontId="44" fillId="4" borderId="3" xfId="0" applyFont="1" applyFill="1" applyBorder="1"/>
    <xf numFmtId="167" fontId="44" fillId="6" borderId="3" xfId="0" applyNumberFormat="1" applyFont="1" applyFill="1" applyBorder="1" applyAlignment="1">
      <alignment horizontal="center" vertical="center"/>
    </xf>
    <xf numFmtId="49" fontId="51" fillId="6" borderId="6" xfId="0" applyNumberFormat="1" applyFont="1" applyFill="1" applyBorder="1" applyAlignment="1">
      <alignment horizontal="center" vertical="center" wrapText="1"/>
    </xf>
    <xf numFmtId="0" fontId="26" fillId="18" borderId="26" xfId="0" applyFont="1" applyFill="1" applyBorder="1" applyAlignment="1">
      <alignment horizontal="center" vertical="center"/>
    </xf>
    <xf numFmtId="0" fontId="25" fillId="6" borderId="0" xfId="0" applyFont="1" applyFill="1"/>
    <xf numFmtId="49" fontId="25" fillId="18" borderId="10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/>
    </xf>
    <xf numFmtId="0" fontId="41" fillId="18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7" fontId="1" fillId="0" borderId="0" xfId="0" applyNumberFormat="1" applyFont="1"/>
    <xf numFmtId="1" fontId="4" fillId="19" borderId="3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6" borderId="32" xfId="0" applyFont="1" applyFill="1" applyBorder="1" applyAlignment="1">
      <alignment vertical="center" wrapText="1"/>
    </xf>
    <xf numFmtId="0" fontId="0" fillId="6" borderId="0" xfId="0" applyFill="1"/>
    <xf numFmtId="0" fontId="6" fillId="6" borderId="32" xfId="0" applyFont="1" applyFill="1" applyBorder="1" applyAlignment="1">
      <alignment vertical="center" wrapText="1"/>
    </xf>
    <xf numFmtId="0" fontId="4" fillId="6" borderId="32" xfId="0" applyFont="1" applyFill="1" applyBorder="1"/>
    <xf numFmtId="49" fontId="25" fillId="18" borderId="4" xfId="0" applyNumberFormat="1" applyFont="1" applyFill="1" applyBorder="1" applyAlignment="1">
      <alignment vertical="center" wrapText="1"/>
    </xf>
    <xf numFmtId="49" fontId="25" fillId="18" borderId="21" xfId="0" applyNumberFormat="1" applyFont="1" applyFill="1" applyBorder="1" applyAlignment="1">
      <alignment vertical="center" wrapText="1"/>
    </xf>
    <xf numFmtId="0" fontId="26" fillId="21" borderId="18" xfId="0" applyFont="1" applyFill="1" applyBorder="1" applyAlignment="1">
      <alignment horizontal="center" vertical="center"/>
    </xf>
    <xf numFmtId="49" fontId="26" fillId="21" borderId="26" xfId="0" applyNumberFormat="1" applyFont="1" applyFill="1" applyBorder="1" applyAlignment="1">
      <alignment horizontal="center" vertical="center"/>
    </xf>
    <xf numFmtId="49" fontId="25" fillId="21" borderId="9" xfId="0" applyNumberFormat="1" applyFont="1" applyFill="1" applyBorder="1" applyAlignment="1">
      <alignment horizontal="center" vertical="center"/>
    </xf>
    <xf numFmtId="0" fontId="25" fillId="21" borderId="18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41" fillId="21" borderId="26" xfId="0" applyFont="1" applyFill="1" applyBorder="1" applyAlignment="1">
      <alignment horizontal="center" vertical="center"/>
    </xf>
    <xf numFmtId="164" fontId="31" fillId="21" borderId="9" xfId="0" applyNumberFormat="1" applyFont="1" applyFill="1" applyBorder="1" applyAlignment="1">
      <alignment horizontal="center" vertical="center"/>
    </xf>
    <xf numFmtId="169" fontId="25" fillId="21" borderId="1" xfId="0" applyNumberFormat="1" applyFont="1" applyFill="1" applyBorder="1" applyAlignment="1">
      <alignment horizontal="center" vertical="center"/>
    </xf>
    <xf numFmtId="168" fontId="31" fillId="21" borderId="9" xfId="0" applyNumberFormat="1" applyFont="1" applyFill="1" applyBorder="1" applyAlignment="1">
      <alignment horizontal="center" vertical="center"/>
    </xf>
    <xf numFmtId="169" fontId="25" fillId="21" borderId="19" xfId="0" applyNumberFormat="1" applyFont="1" applyFill="1" applyBorder="1" applyAlignment="1">
      <alignment horizontal="center" vertical="center"/>
    </xf>
    <xf numFmtId="167" fontId="26" fillId="21" borderId="9" xfId="0" applyNumberFormat="1" applyFont="1" applyFill="1" applyBorder="1" applyAlignment="1">
      <alignment horizontal="center" vertical="center"/>
    </xf>
    <xf numFmtId="167" fontId="26" fillId="21" borderId="8" xfId="0" applyNumberFormat="1" applyFont="1" applyFill="1" applyBorder="1" applyAlignment="1">
      <alignment horizontal="center" vertical="center"/>
    </xf>
    <xf numFmtId="0" fontId="31" fillId="21" borderId="45" xfId="0" applyFont="1" applyFill="1" applyBorder="1" applyAlignment="1">
      <alignment horizontal="center" vertical="center" wrapText="1"/>
    </xf>
    <xf numFmtId="49" fontId="29" fillId="21" borderId="9" xfId="0" applyNumberFormat="1" applyFont="1" applyFill="1" applyBorder="1" applyAlignment="1">
      <alignment horizontal="center" vertical="center" wrapText="1"/>
    </xf>
    <xf numFmtId="0" fontId="29" fillId="21" borderId="8" xfId="0" applyFont="1" applyFill="1" applyBorder="1" applyAlignment="1">
      <alignment horizontal="center" vertical="center" wrapText="1"/>
    </xf>
    <xf numFmtId="0" fontId="29" fillId="21" borderId="19" xfId="0" applyFont="1" applyFill="1" applyBorder="1" applyAlignment="1">
      <alignment vertical="center" wrapText="1"/>
    </xf>
    <xf numFmtId="0" fontId="25" fillId="21" borderId="18" xfId="0" applyFont="1" applyFill="1" applyBorder="1" applyAlignment="1">
      <alignment horizontal="center" vertical="center" wrapText="1"/>
    </xf>
    <xf numFmtId="167" fontId="30" fillId="21" borderId="1" xfId="0" applyNumberFormat="1" applyFont="1" applyFill="1" applyBorder="1" applyAlignment="1">
      <alignment vertical="center"/>
    </xf>
    <xf numFmtId="0" fontId="25" fillId="21" borderId="19" xfId="0" applyFont="1" applyFill="1" applyBorder="1" applyAlignment="1">
      <alignment horizontal="center" vertical="center"/>
    </xf>
    <xf numFmtId="167" fontId="25" fillId="21" borderId="18" xfId="0" applyNumberFormat="1" applyFont="1" applyFill="1" applyBorder="1" applyAlignment="1">
      <alignment vertical="center"/>
    </xf>
    <xf numFmtId="167" fontId="25" fillId="21" borderId="1" xfId="0" applyNumberFormat="1" applyFont="1" applyFill="1" applyBorder="1" applyAlignment="1">
      <alignment vertical="center"/>
    </xf>
    <xf numFmtId="49" fontId="31" fillId="21" borderId="9" xfId="0" applyNumberFormat="1" applyFont="1" applyFill="1" applyBorder="1" applyAlignment="1">
      <alignment vertical="center" wrapText="1"/>
    </xf>
    <xf numFmtId="49" fontId="31" fillId="21" borderId="26" xfId="0" applyNumberFormat="1" applyFont="1" applyFill="1" applyBorder="1" applyAlignment="1">
      <alignment vertical="center" wrapText="1"/>
    </xf>
    <xf numFmtId="49" fontId="25" fillId="21" borderId="10" xfId="0" applyNumberFormat="1" applyFont="1" applyFill="1" applyBorder="1" applyAlignment="1">
      <alignment horizontal="center" vertical="center"/>
    </xf>
    <xf numFmtId="49" fontId="25" fillId="21" borderId="47" xfId="0" applyNumberFormat="1" applyFont="1" applyFill="1" applyBorder="1" applyAlignment="1">
      <alignment horizontal="center" vertical="center"/>
    </xf>
    <xf numFmtId="0" fontId="31" fillId="18" borderId="19" xfId="0" applyFont="1" applyFill="1" applyBorder="1" applyAlignment="1">
      <alignment horizontal="center" vertical="center"/>
    </xf>
    <xf numFmtId="49" fontId="25" fillId="7" borderId="23" xfId="0" applyNumberFormat="1" applyFont="1" applyFill="1" applyBorder="1" applyAlignment="1">
      <alignment horizontal="center" vertical="center"/>
    </xf>
    <xf numFmtId="0" fontId="31" fillId="21" borderId="1" xfId="0" applyFont="1" applyFill="1" applyBorder="1" applyAlignment="1">
      <alignment horizontal="center" vertical="center"/>
    </xf>
    <xf numFmtId="166" fontId="41" fillId="21" borderId="9" xfId="0" applyNumberFormat="1" applyFont="1" applyFill="1" applyBorder="1" applyAlignment="1">
      <alignment horizontal="center" vertical="center"/>
    </xf>
    <xf numFmtId="167" fontId="38" fillId="21" borderId="34" xfId="0" applyNumberFormat="1" applyFont="1" applyFill="1" applyBorder="1" applyAlignment="1">
      <alignment horizontal="center" vertical="center"/>
    </xf>
    <xf numFmtId="167" fontId="29" fillId="21" borderId="18" xfId="0" applyNumberFormat="1" applyFont="1" applyFill="1" applyBorder="1" applyAlignment="1">
      <alignment horizontal="center" vertical="center"/>
    </xf>
    <xf numFmtId="167" fontId="29" fillId="21" borderId="9" xfId="0" applyNumberFormat="1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vertical="center" wrapText="1"/>
    </xf>
    <xf numFmtId="49" fontId="25" fillId="21" borderId="1" xfId="0" applyNumberFormat="1" applyFont="1" applyFill="1" applyBorder="1" applyAlignment="1">
      <alignment vertical="center" wrapText="1"/>
    </xf>
    <xf numFmtId="49" fontId="25" fillId="21" borderId="19" xfId="0" applyNumberFormat="1" applyFont="1" applyFill="1" applyBorder="1" applyAlignment="1">
      <alignment vertical="center" wrapText="1"/>
    </xf>
    <xf numFmtId="0" fontId="26" fillId="0" borderId="18" xfId="0" applyFont="1" applyBorder="1" applyAlignment="1">
      <alignment horizontal="center" vertical="center"/>
    </xf>
    <xf numFmtId="49" fontId="26" fillId="0" borderId="26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vertical="center" wrapText="1"/>
    </xf>
    <xf numFmtId="49" fontId="31" fillId="0" borderId="9" xfId="0" applyNumberFormat="1" applyFont="1" applyBorder="1" applyAlignment="1">
      <alignment vertical="center" wrapText="1"/>
    </xf>
    <xf numFmtId="49" fontId="31" fillId="0" borderId="26" xfId="0" applyNumberFormat="1" applyFont="1" applyBorder="1" applyAlignment="1">
      <alignment vertical="center" wrapText="1"/>
    </xf>
    <xf numFmtId="167" fontId="25" fillId="0" borderId="1" xfId="0" applyNumberFormat="1" applyFont="1" applyBorder="1" applyAlignment="1">
      <alignment horizontal="center" vertical="center"/>
    </xf>
    <xf numFmtId="167" fontId="26" fillId="0" borderId="9" xfId="0" applyNumberFormat="1" applyFont="1" applyBorder="1" applyAlignment="1">
      <alignment horizontal="center" vertical="center"/>
    </xf>
    <xf numFmtId="167" fontId="26" fillId="0" borderId="8" xfId="0" applyNumberFormat="1" applyFont="1" applyBorder="1" applyAlignment="1">
      <alignment horizontal="center" vertical="center"/>
    </xf>
    <xf numFmtId="49" fontId="29" fillId="0" borderId="9" xfId="0" applyNumberFormat="1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19" xfId="0" applyFont="1" applyBorder="1" applyAlignment="1">
      <alignment vertical="center" wrapText="1"/>
    </xf>
    <xf numFmtId="49" fontId="25" fillId="0" borderId="34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69" fontId="25" fillId="0" borderId="1" xfId="0" applyNumberFormat="1" applyFont="1" applyBorder="1" applyAlignment="1">
      <alignment horizontal="center" vertical="center"/>
    </xf>
    <xf numFmtId="169" fontId="25" fillId="0" borderId="19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167" fontId="30" fillId="0" borderId="1" xfId="0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 wrapText="1"/>
    </xf>
    <xf numFmtId="49" fontId="25" fillId="22" borderId="43" xfId="0" applyNumberFormat="1" applyFont="1" applyFill="1" applyBorder="1" applyAlignment="1">
      <alignment horizontal="center" vertical="center"/>
    </xf>
    <xf numFmtId="0" fontId="26" fillId="22" borderId="18" xfId="0" applyFont="1" applyFill="1" applyBorder="1" applyAlignment="1">
      <alignment horizontal="center" vertical="center"/>
    </xf>
    <xf numFmtId="49" fontId="26" fillId="22" borderId="26" xfId="0" applyNumberFormat="1" applyFont="1" applyFill="1" applyBorder="1" applyAlignment="1">
      <alignment horizontal="center" vertical="center"/>
    </xf>
    <xf numFmtId="49" fontId="25" fillId="22" borderId="10" xfId="0" applyNumberFormat="1" applyFont="1" applyFill="1" applyBorder="1" applyAlignment="1">
      <alignment horizontal="center" vertical="center"/>
    </xf>
    <xf numFmtId="49" fontId="25" fillId="22" borderId="9" xfId="0" applyNumberFormat="1" applyFont="1" applyFill="1" applyBorder="1" applyAlignment="1">
      <alignment horizontal="center" vertical="center"/>
    </xf>
    <xf numFmtId="49" fontId="25" fillId="22" borderId="34" xfId="0" applyNumberFormat="1" applyFont="1" applyFill="1" applyBorder="1" applyAlignment="1">
      <alignment horizontal="center" vertical="center"/>
    </xf>
    <xf numFmtId="0" fontId="25" fillId="22" borderId="18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25" fillId="22" borderId="19" xfId="0" applyFont="1" applyFill="1" applyBorder="1" applyAlignment="1">
      <alignment horizontal="center" vertical="center"/>
    </xf>
    <xf numFmtId="164" fontId="25" fillId="22" borderId="9" xfId="0" applyNumberFormat="1" applyFont="1" applyFill="1" applyBorder="1" applyAlignment="1">
      <alignment horizontal="center" vertical="center"/>
    </xf>
    <xf numFmtId="169" fontId="25" fillId="22" borderId="1" xfId="0" applyNumberFormat="1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vertical="center" wrapText="1"/>
    </xf>
    <xf numFmtId="49" fontId="31" fillId="22" borderId="9" xfId="0" applyNumberFormat="1" applyFont="1" applyFill="1" applyBorder="1" applyAlignment="1">
      <alignment vertical="center" wrapText="1"/>
    </xf>
    <xf numFmtId="49" fontId="25" fillId="22" borderId="4" xfId="0" applyNumberFormat="1" applyFont="1" applyFill="1" applyBorder="1" applyAlignment="1">
      <alignment vertical="center" wrapText="1"/>
    </xf>
    <xf numFmtId="166" fontId="26" fillId="22" borderId="18" xfId="0" applyNumberFormat="1" applyFont="1" applyFill="1" applyBorder="1" applyAlignment="1">
      <alignment horizontal="center" vertical="center"/>
    </xf>
    <xf numFmtId="167" fontId="26" fillId="22" borderId="8" xfId="0" applyNumberFormat="1" applyFont="1" applyFill="1" applyBorder="1" applyAlignment="1">
      <alignment horizontal="center" vertical="center"/>
    </xf>
    <xf numFmtId="167" fontId="25" fillId="22" borderId="18" xfId="0" applyNumberFormat="1" applyFont="1" applyFill="1" applyBorder="1" applyAlignment="1">
      <alignment horizontal="center" vertical="center"/>
    </xf>
    <xf numFmtId="167" fontId="25" fillId="22" borderId="1" xfId="0" applyNumberFormat="1" applyFont="1" applyFill="1" applyBorder="1" applyAlignment="1">
      <alignment horizontal="center" vertical="center"/>
    </xf>
    <xf numFmtId="169" fontId="25" fillId="22" borderId="19" xfId="0" applyNumberFormat="1" applyFont="1" applyFill="1" applyBorder="1" applyAlignment="1">
      <alignment horizontal="center" vertical="center"/>
    </xf>
    <xf numFmtId="167" fontId="26" fillId="22" borderId="9" xfId="0" applyNumberFormat="1" applyFont="1" applyFill="1" applyBorder="1" applyAlignment="1">
      <alignment horizontal="center" vertical="center"/>
    </xf>
    <xf numFmtId="0" fontId="25" fillId="22" borderId="45" xfId="0" applyFont="1" applyFill="1" applyBorder="1" applyAlignment="1">
      <alignment horizontal="center" vertical="center" wrapText="1"/>
    </xf>
    <xf numFmtId="49" fontId="29" fillId="22" borderId="9" xfId="0" applyNumberFormat="1" applyFont="1" applyFill="1" applyBorder="1" applyAlignment="1">
      <alignment horizontal="center" vertical="center" wrapText="1"/>
    </xf>
    <xf numFmtId="0" fontId="29" fillId="22" borderId="8" xfId="0" applyFont="1" applyFill="1" applyBorder="1" applyAlignment="1">
      <alignment horizontal="center" vertical="center" wrapText="1"/>
    </xf>
    <xf numFmtId="0" fontId="29" fillId="22" borderId="19" xfId="0" applyFont="1" applyFill="1" applyBorder="1" applyAlignment="1">
      <alignment vertical="center" wrapText="1"/>
    </xf>
    <xf numFmtId="0" fontId="25" fillId="22" borderId="18" xfId="0" applyFont="1" applyFill="1" applyBorder="1" applyAlignment="1">
      <alignment horizontal="center" vertical="center" wrapText="1"/>
    </xf>
    <xf numFmtId="167" fontId="30" fillId="22" borderId="1" xfId="0" applyNumberFormat="1" applyFont="1" applyFill="1" applyBorder="1" applyAlignment="1">
      <alignment vertical="center"/>
    </xf>
    <xf numFmtId="167" fontId="25" fillId="22" borderId="18" xfId="0" applyNumberFormat="1" applyFont="1" applyFill="1" applyBorder="1" applyAlignment="1">
      <alignment vertical="center"/>
    </xf>
    <xf numFmtId="167" fontId="25" fillId="22" borderId="1" xfId="0" applyNumberFormat="1" applyFont="1" applyFill="1" applyBorder="1" applyAlignment="1">
      <alignment vertical="center"/>
    </xf>
    <xf numFmtId="49" fontId="25" fillId="22" borderId="18" xfId="0" applyNumberFormat="1" applyFont="1" applyFill="1" applyBorder="1" applyAlignment="1">
      <alignment horizontal="center" vertical="center"/>
    </xf>
    <xf numFmtId="0" fontId="31" fillId="22" borderId="1" xfId="0" applyFont="1" applyFill="1" applyBorder="1" applyAlignment="1">
      <alignment vertical="center" wrapText="1"/>
    </xf>
    <xf numFmtId="0" fontId="25" fillId="22" borderId="26" xfId="0" applyFont="1" applyFill="1" applyBorder="1" applyAlignment="1">
      <alignment horizontal="center" vertical="center"/>
    </xf>
    <xf numFmtId="49" fontId="31" fillId="22" borderId="26" xfId="0" applyNumberFormat="1" applyFont="1" applyFill="1" applyBorder="1" applyAlignment="1">
      <alignment vertical="center" wrapText="1"/>
    </xf>
    <xf numFmtId="167" fontId="41" fillId="22" borderId="34" xfId="0" applyNumberFormat="1" applyFont="1" applyFill="1" applyBorder="1" applyAlignment="1">
      <alignment horizontal="center" vertical="center"/>
    </xf>
    <xf numFmtId="167" fontId="31" fillId="22" borderId="18" xfId="0" applyNumberFormat="1" applyFont="1" applyFill="1" applyBorder="1" applyAlignment="1">
      <alignment horizontal="center" vertical="center"/>
    </xf>
    <xf numFmtId="167" fontId="31" fillId="22" borderId="9" xfId="0" applyNumberFormat="1" applyFont="1" applyFill="1" applyBorder="1" applyAlignment="1">
      <alignment horizontal="center" vertical="center"/>
    </xf>
    <xf numFmtId="0" fontId="31" fillId="22" borderId="1" xfId="0" applyFont="1" applyFill="1" applyBorder="1" applyAlignment="1">
      <alignment horizontal="center" vertical="center"/>
    </xf>
    <xf numFmtId="164" fontId="31" fillId="22" borderId="9" xfId="0" applyNumberFormat="1" applyFont="1" applyFill="1" applyBorder="1" applyAlignment="1">
      <alignment horizontal="center" vertical="center"/>
    </xf>
    <xf numFmtId="0" fontId="33" fillId="22" borderId="19" xfId="0" applyFont="1" applyFill="1" applyBorder="1" applyAlignment="1">
      <alignment vertical="center" wrapText="1"/>
    </xf>
    <xf numFmtId="0" fontId="31" fillId="22" borderId="19" xfId="0" applyFont="1" applyFill="1" applyBorder="1" applyAlignment="1">
      <alignment horizontal="center" vertical="center"/>
    </xf>
    <xf numFmtId="166" fontId="41" fillId="22" borderId="9" xfId="0" applyNumberFormat="1" applyFont="1" applyFill="1" applyBorder="1" applyAlignment="1">
      <alignment horizontal="center" vertical="center"/>
    </xf>
    <xf numFmtId="49" fontId="25" fillId="18" borderId="1" xfId="0" applyNumberFormat="1" applyFont="1" applyFill="1" applyBorder="1" applyAlignment="1">
      <alignment vertical="center" wrapText="1"/>
    </xf>
    <xf numFmtId="49" fontId="25" fillId="18" borderId="19" xfId="0" applyNumberFormat="1" applyFont="1" applyFill="1" applyBorder="1" applyAlignment="1">
      <alignment vertical="center" wrapText="1"/>
    </xf>
    <xf numFmtId="167" fontId="29" fillId="18" borderId="18" xfId="0" applyNumberFormat="1" applyFont="1" applyFill="1" applyBorder="1" applyAlignment="1">
      <alignment horizontal="center" vertical="center"/>
    </xf>
    <xf numFmtId="167" fontId="29" fillId="18" borderId="1" xfId="0" applyNumberFormat="1" applyFont="1" applyFill="1" applyBorder="1" applyAlignment="1">
      <alignment horizontal="center" vertical="center"/>
    </xf>
    <xf numFmtId="0" fontId="26" fillId="22" borderId="26" xfId="0" applyFont="1" applyFill="1" applyBorder="1" applyAlignment="1">
      <alignment horizontal="center" vertical="center"/>
    </xf>
    <xf numFmtId="168" fontId="31" fillId="22" borderId="9" xfId="0" applyNumberFormat="1" applyFont="1" applyFill="1" applyBorder="1" applyAlignment="1">
      <alignment horizontal="center" vertical="center"/>
    </xf>
    <xf numFmtId="173" fontId="38" fillId="22" borderId="18" xfId="0" applyNumberFormat="1" applyFont="1" applyFill="1" applyBorder="1" applyAlignment="1">
      <alignment horizontal="center" vertical="center"/>
    </xf>
    <xf numFmtId="167" fontId="29" fillId="22" borderId="22" xfId="0" applyNumberFormat="1" applyFont="1" applyFill="1" applyBorder="1" applyAlignment="1">
      <alignment horizontal="center" vertical="center"/>
    </xf>
    <xf numFmtId="167" fontId="29" fillId="22" borderId="4" xfId="0" applyNumberFormat="1" applyFont="1" applyFill="1" applyBorder="1" applyAlignment="1">
      <alignment horizontal="center" vertical="center"/>
    </xf>
    <xf numFmtId="0" fontId="25" fillId="22" borderId="21" xfId="0" applyFont="1" applyFill="1" applyBorder="1" applyAlignment="1">
      <alignment horizontal="center" vertical="center"/>
    </xf>
    <xf numFmtId="0" fontId="31" fillId="22" borderId="26" xfId="0" applyFont="1" applyFill="1" applyBorder="1" applyAlignment="1">
      <alignment horizontal="center" vertical="center"/>
    </xf>
    <xf numFmtId="0" fontId="38" fillId="22" borderId="19" xfId="0" applyFont="1" applyFill="1" applyBorder="1" applyAlignment="1">
      <alignment vertical="center" wrapText="1"/>
    </xf>
    <xf numFmtId="0" fontId="25" fillId="22" borderId="8" xfId="0" applyFont="1" applyFill="1" applyBorder="1" applyAlignment="1">
      <alignment horizontal="center" vertical="center"/>
    </xf>
    <xf numFmtId="49" fontId="25" fillId="21" borderId="34" xfId="0" applyNumberFormat="1" applyFont="1" applyFill="1" applyBorder="1" applyAlignment="1">
      <alignment horizontal="center" vertical="center"/>
    </xf>
    <xf numFmtId="1" fontId="25" fillId="18" borderId="19" xfId="0" applyNumberFormat="1" applyFont="1" applyFill="1" applyBorder="1" applyAlignment="1">
      <alignment horizontal="center" vertical="center"/>
    </xf>
    <xf numFmtId="0" fontId="26" fillId="23" borderId="18" xfId="0" applyFont="1" applyFill="1" applyBorder="1" applyAlignment="1">
      <alignment horizontal="center" vertical="center"/>
    </xf>
    <xf numFmtId="49" fontId="26" fillId="23" borderId="26" xfId="0" applyNumberFormat="1" applyFont="1" applyFill="1" applyBorder="1" applyAlignment="1">
      <alignment horizontal="center" vertical="center"/>
    </xf>
    <xf numFmtId="49" fontId="25" fillId="23" borderId="9" xfId="0" applyNumberFormat="1" applyFont="1" applyFill="1" applyBorder="1" applyAlignment="1">
      <alignment horizontal="center" vertical="center"/>
    </xf>
    <xf numFmtId="49" fontId="25" fillId="23" borderId="34" xfId="0" applyNumberFormat="1" applyFont="1" applyFill="1" applyBorder="1" applyAlignment="1">
      <alignment horizontal="center" vertical="center"/>
    </xf>
    <xf numFmtId="49" fontId="25" fillId="23" borderId="18" xfId="0" applyNumberFormat="1" applyFont="1" applyFill="1" applyBorder="1" applyAlignment="1">
      <alignment horizontal="center" vertical="center"/>
    </xf>
    <xf numFmtId="0" fontId="25" fillId="23" borderId="9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/>
    </xf>
    <xf numFmtId="0" fontId="26" fillId="23" borderId="26" xfId="0" applyFont="1" applyFill="1" applyBorder="1" applyAlignment="1">
      <alignment horizontal="center" vertical="center"/>
    </xf>
    <xf numFmtId="164" fontId="25" fillId="23" borderId="9" xfId="0" applyNumberFormat="1" applyFont="1" applyFill="1" applyBorder="1" applyAlignment="1">
      <alignment horizontal="center" vertical="center"/>
    </xf>
    <xf numFmtId="169" fontId="25" fillId="23" borderId="1" xfId="0" applyNumberFormat="1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vertical="center" wrapText="1"/>
    </xf>
    <xf numFmtId="49" fontId="25" fillId="23" borderId="1" xfId="0" applyNumberFormat="1" applyFont="1" applyFill="1" applyBorder="1" applyAlignment="1">
      <alignment vertical="center" wrapText="1"/>
    </xf>
    <xf numFmtId="49" fontId="29" fillId="23" borderId="19" xfId="0" applyNumberFormat="1" applyFont="1" applyFill="1" applyBorder="1" applyAlignment="1">
      <alignment vertical="center" wrapText="1"/>
    </xf>
    <xf numFmtId="166" fontId="26" fillId="23" borderId="9" xfId="0" applyNumberFormat="1" applyFont="1" applyFill="1" applyBorder="1" applyAlignment="1">
      <alignment horizontal="center" vertical="center"/>
    </xf>
    <xf numFmtId="167" fontId="38" fillId="23" borderId="8" xfId="0" applyNumberFormat="1" applyFont="1" applyFill="1" applyBorder="1" applyAlignment="1">
      <alignment horizontal="center" vertical="center"/>
    </xf>
    <xf numFmtId="167" fontId="29" fillId="23" borderId="18" xfId="0" applyNumberFormat="1" applyFont="1" applyFill="1" applyBorder="1" applyAlignment="1">
      <alignment horizontal="center" vertical="center"/>
    </xf>
    <xf numFmtId="167" fontId="29" fillId="23" borderId="9" xfId="0" applyNumberFormat="1" applyFont="1" applyFill="1" applyBorder="1" applyAlignment="1">
      <alignment horizontal="center" vertical="center"/>
    </xf>
    <xf numFmtId="168" fontId="25" fillId="23" borderId="9" xfId="0" applyNumberFormat="1" applyFont="1" applyFill="1" applyBorder="1" applyAlignment="1">
      <alignment horizontal="center" vertical="center"/>
    </xf>
    <xf numFmtId="169" fontId="25" fillId="23" borderId="19" xfId="0" applyNumberFormat="1" applyFont="1" applyFill="1" applyBorder="1" applyAlignment="1">
      <alignment horizontal="center" vertical="center"/>
    </xf>
    <xf numFmtId="167" fontId="26" fillId="23" borderId="9" xfId="0" applyNumberFormat="1" applyFont="1" applyFill="1" applyBorder="1" applyAlignment="1">
      <alignment horizontal="center" vertical="center"/>
    </xf>
    <xf numFmtId="167" fontId="26" fillId="23" borderId="8" xfId="0" applyNumberFormat="1" applyFont="1" applyFill="1" applyBorder="1" applyAlignment="1">
      <alignment horizontal="center" vertical="center"/>
    </xf>
    <xf numFmtId="0" fontId="25" fillId="23" borderId="45" xfId="0" applyFont="1" applyFill="1" applyBorder="1" applyAlignment="1">
      <alignment horizontal="center" vertical="center" wrapText="1"/>
    </xf>
    <xf numFmtId="49" fontId="29" fillId="23" borderId="9" xfId="0" applyNumberFormat="1" applyFont="1" applyFill="1" applyBorder="1" applyAlignment="1">
      <alignment horizontal="center" vertical="center" wrapText="1"/>
    </xf>
    <xf numFmtId="0" fontId="29" fillId="23" borderId="8" xfId="0" applyFont="1" applyFill="1" applyBorder="1" applyAlignment="1">
      <alignment horizontal="center" vertical="center" wrapText="1"/>
    </xf>
    <xf numFmtId="0" fontId="33" fillId="23" borderId="19" xfId="0" applyFont="1" applyFill="1" applyBorder="1" applyAlignment="1">
      <alignment vertical="center" wrapText="1"/>
    </xf>
    <xf numFmtId="0" fontId="25" fillId="23" borderId="18" xfId="0" applyFont="1" applyFill="1" applyBorder="1" applyAlignment="1">
      <alignment horizontal="center" vertical="center" wrapText="1"/>
    </xf>
    <xf numFmtId="167" fontId="30" fillId="23" borderId="1" xfId="0" applyNumberFormat="1" applyFont="1" applyFill="1" applyBorder="1" applyAlignment="1">
      <alignment vertical="center"/>
    </xf>
    <xf numFmtId="0" fontId="25" fillId="23" borderId="19" xfId="0" applyFont="1" applyFill="1" applyBorder="1" applyAlignment="1">
      <alignment horizontal="center" vertical="center"/>
    </xf>
    <xf numFmtId="167" fontId="25" fillId="23" borderId="18" xfId="0" applyNumberFormat="1" applyFont="1" applyFill="1" applyBorder="1" applyAlignment="1">
      <alignment vertical="center"/>
    </xf>
    <xf numFmtId="167" fontId="25" fillId="23" borderId="1" xfId="0" applyNumberFormat="1" applyFont="1" applyFill="1" applyBorder="1" applyAlignment="1">
      <alignment vertical="center"/>
    </xf>
    <xf numFmtId="0" fontId="26" fillId="24" borderId="18" xfId="0" applyFont="1" applyFill="1" applyBorder="1" applyAlignment="1">
      <alignment horizontal="center" vertical="center"/>
    </xf>
    <xf numFmtId="49" fontId="26" fillId="24" borderId="26" xfId="0" applyNumberFormat="1" applyFont="1" applyFill="1" applyBorder="1" applyAlignment="1">
      <alignment horizontal="center" vertical="center"/>
    </xf>
    <xf numFmtId="49" fontId="25" fillId="24" borderId="10" xfId="0" applyNumberFormat="1" applyFont="1" applyFill="1" applyBorder="1" applyAlignment="1">
      <alignment horizontal="center" vertical="center"/>
    </xf>
    <xf numFmtId="49" fontId="25" fillId="24" borderId="47" xfId="0" applyNumberFormat="1" applyFont="1" applyFill="1" applyBorder="1" applyAlignment="1">
      <alignment horizontal="center" vertical="center"/>
    </xf>
    <xf numFmtId="0" fontId="25" fillId="24" borderId="18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41" fillId="24" borderId="26" xfId="0" applyFont="1" applyFill="1" applyBorder="1" applyAlignment="1">
      <alignment horizontal="center" vertical="center"/>
    </xf>
    <xf numFmtId="164" fontId="31" fillId="24" borderId="9" xfId="0" applyNumberFormat="1" applyFont="1" applyFill="1" applyBorder="1" applyAlignment="1">
      <alignment horizontal="center" vertical="center"/>
    </xf>
    <xf numFmtId="169" fontId="25" fillId="24" borderId="1" xfId="0" applyNumberFormat="1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vertical="center" wrapText="1"/>
    </xf>
    <xf numFmtId="49" fontId="25" fillId="24" borderId="1" xfId="0" applyNumberFormat="1" applyFont="1" applyFill="1" applyBorder="1" applyAlignment="1">
      <alignment vertical="center" wrapText="1"/>
    </xf>
    <xf numFmtId="49" fontId="25" fillId="24" borderId="19" xfId="0" applyNumberFormat="1" applyFont="1" applyFill="1" applyBorder="1" applyAlignment="1">
      <alignment vertical="center" wrapText="1"/>
    </xf>
    <xf numFmtId="166" fontId="41" fillId="24" borderId="9" xfId="0" applyNumberFormat="1" applyFont="1" applyFill="1" applyBorder="1" applyAlignment="1">
      <alignment horizontal="center" vertical="center"/>
    </xf>
    <xf numFmtId="167" fontId="38" fillId="24" borderId="34" xfId="0" applyNumberFormat="1" applyFont="1" applyFill="1" applyBorder="1" applyAlignment="1">
      <alignment horizontal="center" vertical="center"/>
    </xf>
    <xf numFmtId="167" fontId="29" fillId="24" borderId="18" xfId="0" applyNumberFormat="1" applyFont="1" applyFill="1" applyBorder="1" applyAlignment="1">
      <alignment horizontal="center" vertical="center"/>
    </xf>
    <xf numFmtId="167" fontId="29" fillId="24" borderId="9" xfId="0" applyNumberFormat="1" applyFont="1" applyFill="1" applyBorder="1" applyAlignment="1">
      <alignment horizontal="center" vertical="center"/>
    </xf>
    <xf numFmtId="168" fontId="31" fillId="24" borderId="9" xfId="0" applyNumberFormat="1" applyFont="1" applyFill="1" applyBorder="1" applyAlignment="1">
      <alignment horizontal="center" vertical="center"/>
    </xf>
    <xf numFmtId="169" fontId="25" fillId="24" borderId="19" xfId="0" applyNumberFormat="1" applyFont="1" applyFill="1" applyBorder="1" applyAlignment="1">
      <alignment horizontal="center" vertical="center"/>
    </xf>
    <xf numFmtId="167" fontId="26" fillId="24" borderId="9" xfId="0" applyNumberFormat="1" applyFont="1" applyFill="1" applyBorder="1" applyAlignment="1">
      <alignment horizontal="center" vertical="center"/>
    </xf>
    <xf numFmtId="167" fontId="26" fillId="24" borderId="8" xfId="0" applyNumberFormat="1" applyFont="1" applyFill="1" applyBorder="1" applyAlignment="1">
      <alignment horizontal="center" vertical="center"/>
    </xf>
    <xf numFmtId="0" fontId="31" fillId="24" borderId="45" xfId="0" applyFont="1" applyFill="1" applyBorder="1" applyAlignment="1">
      <alignment horizontal="center" vertical="center" wrapText="1"/>
    </xf>
    <xf numFmtId="49" fontId="29" fillId="24" borderId="9" xfId="0" applyNumberFormat="1" applyFont="1" applyFill="1" applyBorder="1" applyAlignment="1">
      <alignment horizontal="center" vertical="center" wrapText="1"/>
    </xf>
    <xf numFmtId="0" fontId="29" fillId="24" borderId="8" xfId="0" applyFont="1" applyFill="1" applyBorder="1" applyAlignment="1">
      <alignment horizontal="center" vertical="center" wrapText="1"/>
    </xf>
    <xf numFmtId="0" fontId="29" fillId="24" borderId="19" xfId="0" applyFont="1" applyFill="1" applyBorder="1" applyAlignment="1">
      <alignment vertical="center" wrapText="1"/>
    </xf>
    <xf numFmtId="0" fontId="25" fillId="24" borderId="18" xfId="0" applyFont="1" applyFill="1" applyBorder="1" applyAlignment="1">
      <alignment horizontal="center" vertical="center" wrapText="1"/>
    </xf>
    <xf numFmtId="167" fontId="30" fillId="24" borderId="1" xfId="0" applyNumberFormat="1" applyFont="1" applyFill="1" applyBorder="1" applyAlignment="1">
      <alignment vertical="center"/>
    </xf>
    <xf numFmtId="0" fontId="25" fillId="24" borderId="19" xfId="0" applyFont="1" applyFill="1" applyBorder="1" applyAlignment="1">
      <alignment horizontal="center" vertical="center"/>
    </xf>
    <xf numFmtId="167" fontId="25" fillId="24" borderId="18" xfId="0" applyNumberFormat="1" applyFont="1" applyFill="1" applyBorder="1" applyAlignment="1">
      <alignment vertical="center"/>
    </xf>
    <xf numFmtId="167" fontId="25" fillId="24" borderId="1" xfId="0" applyNumberFormat="1" applyFont="1" applyFill="1" applyBorder="1" applyAlignment="1">
      <alignment vertical="center"/>
    </xf>
    <xf numFmtId="49" fontId="25" fillId="24" borderId="9" xfId="0" applyNumberFormat="1" applyFont="1" applyFill="1" applyBorder="1" applyAlignment="1">
      <alignment horizontal="center" vertical="center"/>
    </xf>
    <xf numFmtId="49" fontId="25" fillId="24" borderId="34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vertical="center" wrapText="1"/>
    </xf>
    <xf numFmtId="0" fontId="29" fillId="21" borderId="18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164" fontId="29" fillId="21" borderId="9" xfId="0" applyNumberFormat="1" applyFont="1" applyFill="1" applyBorder="1" applyAlignment="1">
      <alignment horizontal="center" vertical="center"/>
    </xf>
    <xf numFmtId="169" fontId="29" fillId="21" borderId="1" xfId="0" applyNumberFormat="1" applyFont="1" applyFill="1" applyBorder="1" applyAlignment="1">
      <alignment horizontal="center" vertical="center"/>
    </xf>
    <xf numFmtId="166" fontId="38" fillId="21" borderId="18" xfId="0" applyNumberFormat="1" applyFont="1" applyFill="1" applyBorder="1" applyAlignment="1">
      <alignment horizontal="center" vertical="center"/>
    </xf>
    <xf numFmtId="167" fontId="38" fillId="21" borderId="8" xfId="0" applyNumberFormat="1" applyFont="1" applyFill="1" applyBorder="1" applyAlignment="1">
      <alignment horizontal="center" vertical="center"/>
    </xf>
    <xf numFmtId="167" fontId="29" fillId="21" borderId="22" xfId="0" applyNumberFormat="1" applyFont="1" applyFill="1" applyBorder="1" applyAlignment="1">
      <alignment horizontal="center" vertical="center"/>
    </xf>
    <xf numFmtId="167" fontId="25" fillId="21" borderId="1" xfId="0" applyNumberFormat="1" applyFont="1" applyFill="1" applyBorder="1" applyAlignment="1">
      <alignment horizontal="center" vertical="center"/>
    </xf>
    <xf numFmtId="169" fontId="29" fillId="21" borderId="19" xfId="0" applyNumberFormat="1" applyFont="1" applyFill="1" applyBorder="1" applyAlignment="1">
      <alignment horizontal="center" vertical="center"/>
    </xf>
    <xf numFmtId="0" fontId="29" fillId="21" borderId="45" xfId="0" applyFont="1" applyFill="1" applyBorder="1" applyAlignment="1">
      <alignment horizontal="center" vertical="center" wrapText="1"/>
    </xf>
    <xf numFmtId="0" fontId="29" fillId="21" borderId="18" xfId="0" applyFont="1" applyFill="1" applyBorder="1" applyAlignment="1">
      <alignment horizontal="center" vertical="center" wrapText="1"/>
    </xf>
    <xf numFmtId="167" fontId="29" fillId="21" borderId="1" xfId="0" applyNumberFormat="1" applyFont="1" applyFill="1" applyBorder="1" applyAlignment="1">
      <alignment vertical="center"/>
    </xf>
    <xf numFmtId="0" fontId="29" fillId="21" borderId="19" xfId="0" applyFont="1" applyFill="1" applyBorder="1" applyAlignment="1">
      <alignment horizontal="center" vertical="center"/>
    </xf>
    <xf numFmtId="167" fontId="29" fillId="21" borderId="18" xfId="0" applyNumberFormat="1" applyFont="1" applyFill="1" applyBorder="1" applyAlignment="1">
      <alignment vertical="center"/>
    </xf>
    <xf numFmtId="49" fontId="25" fillId="22" borderId="47" xfId="0" applyNumberFormat="1" applyFont="1" applyFill="1" applyBorder="1" applyAlignment="1">
      <alignment horizontal="center" vertical="center"/>
    </xf>
    <xf numFmtId="166" fontId="26" fillId="22" borderId="22" xfId="0" applyNumberFormat="1" applyFont="1" applyFill="1" applyBorder="1" applyAlignment="1">
      <alignment horizontal="center" vertical="center"/>
    </xf>
    <xf numFmtId="0" fontId="31" fillId="22" borderId="45" xfId="0" applyFont="1" applyFill="1" applyBorder="1" applyAlignment="1">
      <alignment horizontal="center" vertical="center" wrapText="1"/>
    </xf>
    <xf numFmtId="0" fontId="29" fillId="22" borderId="1" xfId="0" applyFont="1" applyFill="1" applyBorder="1" applyAlignment="1">
      <alignment horizontal="center" vertical="center"/>
    </xf>
    <xf numFmtId="0" fontId="29" fillId="22" borderId="19" xfId="0" applyFont="1" applyFill="1" applyBorder="1" applyAlignment="1">
      <alignment horizontal="center" vertical="center"/>
    </xf>
    <xf numFmtId="164" fontId="29" fillId="22" borderId="9" xfId="0" applyNumberFormat="1" applyFont="1" applyFill="1" applyBorder="1" applyAlignment="1">
      <alignment horizontal="center" vertical="center"/>
    </xf>
    <xf numFmtId="169" fontId="29" fillId="22" borderId="1" xfId="0" applyNumberFormat="1" applyFont="1" applyFill="1" applyBorder="1" applyAlignment="1">
      <alignment horizontal="center" vertical="center"/>
    </xf>
    <xf numFmtId="169" fontId="29" fillId="22" borderId="19" xfId="0" applyNumberFormat="1" applyFont="1" applyFill="1" applyBorder="1" applyAlignment="1">
      <alignment horizontal="center" vertical="center"/>
    </xf>
    <xf numFmtId="0" fontId="29" fillId="22" borderId="18" xfId="0" applyFont="1" applyFill="1" applyBorder="1" applyAlignment="1">
      <alignment horizontal="center" vertical="center" wrapText="1"/>
    </xf>
    <xf numFmtId="167" fontId="29" fillId="22" borderId="1" xfId="0" applyNumberFormat="1" applyFont="1" applyFill="1" applyBorder="1" applyAlignment="1">
      <alignment vertical="center"/>
    </xf>
    <xf numFmtId="167" fontId="29" fillId="22" borderId="18" xfId="0" applyNumberFormat="1" applyFont="1" applyFill="1" applyBorder="1" applyAlignment="1">
      <alignment vertical="center"/>
    </xf>
    <xf numFmtId="167" fontId="26" fillId="22" borderId="42" xfId="0" applyNumberFormat="1" applyFont="1" applyFill="1" applyBorder="1" applyAlignment="1">
      <alignment horizontal="center" vertical="center"/>
    </xf>
    <xf numFmtId="169" fontId="31" fillId="22" borderId="9" xfId="0" applyNumberFormat="1" applyFont="1" applyFill="1" applyBorder="1" applyAlignment="1">
      <alignment horizontal="center" vertical="center"/>
    </xf>
    <xf numFmtId="166" fontId="26" fillId="3" borderId="9" xfId="0" applyNumberFormat="1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49" fontId="25" fillId="0" borderId="4" xfId="0" applyNumberFormat="1" applyFont="1" applyBorder="1" applyAlignment="1">
      <alignment vertical="center" wrapText="1"/>
    </xf>
    <xf numFmtId="49" fontId="25" fillId="0" borderId="21" xfId="0" applyNumberFormat="1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6" fontId="25" fillId="18" borderId="1" xfId="0" applyNumberFormat="1" applyFont="1" applyFill="1" applyBorder="1" applyAlignment="1">
      <alignment horizontal="center" vertical="center"/>
    </xf>
    <xf numFmtId="16" fontId="25" fillId="18" borderId="26" xfId="0" applyNumberFormat="1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8" fillId="18" borderId="26" xfId="0" applyFont="1" applyFill="1" applyBorder="1" applyAlignment="1">
      <alignment horizontal="center" vertical="center"/>
    </xf>
    <xf numFmtId="167" fontId="38" fillId="18" borderId="8" xfId="0" applyNumberFormat="1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167" fontId="38" fillId="18" borderId="34" xfId="0" applyNumberFormat="1" applyFont="1" applyFill="1" applyBorder="1" applyAlignment="1">
      <alignment horizontal="center" vertical="center"/>
    </xf>
    <xf numFmtId="0" fontId="26" fillId="21" borderId="19" xfId="0" applyFont="1" applyFill="1" applyBorder="1" applyAlignment="1">
      <alignment horizontal="center" vertical="center"/>
    </xf>
    <xf numFmtId="166" fontId="41" fillId="21" borderId="10" xfId="0" applyNumberFormat="1" applyFont="1" applyFill="1" applyBorder="1" applyAlignment="1">
      <alignment horizontal="center" vertical="center"/>
    </xf>
    <xf numFmtId="167" fontId="41" fillId="21" borderId="34" xfId="0" applyNumberFormat="1" applyFont="1" applyFill="1" applyBorder="1" applyAlignment="1">
      <alignment horizontal="center" vertical="center"/>
    </xf>
    <xf numFmtId="167" fontId="25" fillId="0" borderId="18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vertical="center" wrapText="1"/>
    </xf>
    <xf numFmtId="164" fontId="25" fillId="0" borderId="9" xfId="0" applyNumberFormat="1" applyFont="1" applyBorder="1" applyAlignment="1">
      <alignment horizontal="center" vertical="center"/>
    </xf>
    <xf numFmtId="168" fontId="25" fillId="0" borderId="1" xfId="0" applyNumberFormat="1" applyFont="1" applyBorder="1" applyAlignment="1">
      <alignment horizontal="center" vertical="center"/>
    </xf>
    <xf numFmtId="49" fontId="25" fillId="0" borderId="18" xfId="0" applyNumberFormat="1" applyFont="1" applyBorder="1" applyAlignment="1">
      <alignment horizontal="center" vertical="center"/>
    </xf>
    <xf numFmtId="166" fontId="26" fillId="0" borderId="18" xfId="0" applyNumberFormat="1" applyFont="1" applyBorder="1" applyAlignment="1">
      <alignment horizontal="center" vertical="center"/>
    </xf>
    <xf numFmtId="0" fontId="31" fillId="18" borderId="26" xfId="0" applyFont="1" applyFill="1" applyBorder="1" applyAlignment="1">
      <alignment horizontal="center" vertical="center"/>
    </xf>
    <xf numFmtId="0" fontId="31" fillId="18" borderId="45" xfId="0" applyFont="1" applyFill="1" applyBorder="1" applyAlignment="1">
      <alignment horizontal="center" vertical="center" wrapText="1"/>
    </xf>
    <xf numFmtId="170" fontId="26" fillId="18" borderId="18" xfId="0" applyNumberFormat="1" applyFont="1" applyFill="1" applyBorder="1" applyAlignment="1">
      <alignment horizontal="center" vertical="center"/>
    </xf>
    <xf numFmtId="0" fontId="25" fillId="18" borderId="4" xfId="0" applyFont="1" applyFill="1" applyBorder="1" applyAlignment="1">
      <alignment horizontal="center" vertical="center"/>
    </xf>
    <xf numFmtId="0" fontId="26" fillId="18" borderId="21" xfId="0" applyFont="1" applyFill="1" applyBorder="1" applyAlignment="1">
      <alignment horizontal="center" vertical="center"/>
    </xf>
    <xf numFmtId="164" fontId="25" fillId="18" borderId="10" xfId="0" applyNumberFormat="1" applyFont="1" applyFill="1" applyBorder="1" applyAlignment="1">
      <alignment horizontal="center" vertical="center"/>
    </xf>
    <xf numFmtId="173" fontId="38" fillId="18" borderId="18" xfId="0" applyNumberFormat="1" applyFont="1" applyFill="1" applyBorder="1" applyAlignment="1">
      <alignment horizontal="center" vertical="center"/>
    </xf>
    <xf numFmtId="167" fontId="29" fillId="18" borderId="22" xfId="0" applyNumberFormat="1" applyFont="1" applyFill="1" applyBorder="1" applyAlignment="1">
      <alignment horizontal="center" vertical="center"/>
    </xf>
    <xf numFmtId="167" fontId="29" fillId="18" borderId="4" xfId="0" applyNumberFormat="1" applyFont="1" applyFill="1" applyBorder="1" applyAlignment="1">
      <alignment horizontal="center" vertical="center"/>
    </xf>
    <xf numFmtId="0" fontId="25" fillId="18" borderId="21" xfId="0" applyFont="1" applyFill="1" applyBorder="1" applyAlignment="1">
      <alignment horizontal="center" vertical="center"/>
    </xf>
    <xf numFmtId="0" fontId="33" fillId="18" borderId="21" xfId="0" applyFont="1" applyFill="1" applyBorder="1" applyAlignment="1">
      <alignment vertical="center" wrapText="1"/>
    </xf>
    <xf numFmtId="0" fontId="26" fillId="25" borderId="18" xfId="0" applyFont="1" applyFill="1" applyBorder="1" applyAlignment="1">
      <alignment horizontal="center" vertical="center"/>
    </xf>
    <xf numFmtId="49" fontId="26" fillId="25" borderId="26" xfId="0" applyNumberFormat="1" applyFont="1" applyFill="1" applyBorder="1" applyAlignment="1">
      <alignment horizontal="center" vertical="center"/>
    </xf>
    <xf numFmtId="49" fontId="25" fillId="25" borderId="9" xfId="0" applyNumberFormat="1" applyFont="1" applyFill="1" applyBorder="1" applyAlignment="1">
      <alignment horizontal="center" vertical="center"/>
    </xf>
    <xf numFmtId="49" fontId="25" fillId="25" borderId="10" xfId="0" applyNumberFormat="1" applyFont="1" applyFill="1" applyBorder="1" applyAlignment="1">
      <alignment horizontal="center" vertical="center"/>
    </xf>
    <xf numFmtId="49" fontId="25" fillId="25" borderId="47" xfId="0" applyNumberFormat="1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  <xf numFmtId="0" fontId="25" fillId="25" borderId="8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19" xfId="0" applyFont="1" applyFill="1" applyBorder="1" applyAlignment="1">
      <alignment horizontal="center" vertical="center"/>
    </xf>
    <xf numFmtId="164" fontId="25" fillId="25" borderId="9" xfId="0" applyNumberFormat="1" applyFont="1" applyFill="1" applyBorder="1" applyAlignment="1">
      <alignment horizontal="center" vertical="center"/>
    </xf>
    <xf numFmtId="169" fontId="25" fillId="25" borderId="1" xfId="0" applyNumberFormat="1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vertical="center" wrapText="1"/>
    </xf>
    <xf numFmtId="49" fontId="31" fillId="25" borderId="9" xfId="0" applyNumberFormat="1" applyFont="1" applyFill="1" applyBorder="1" applyAlignment="1">
      <alignment vertical="center" wrapText="1"/>
    </xf>
    <xf numFmtId="49" fontId="31" fillId="25" borderId="26" xfId="0" applyNumberFormat="1" applyFont="1" applyFill="1" applyBorder="1" applyAlignment="1">
      <alignment vertical="center" wrapText="1"/>
    </xf>
    <xf numFmtId="166" fontId="41" fillId="25" borderId="9" xfId="0" applyNumberFormat="1" applyFont="1" applyFill="1" applyBorder="1" applyAlignment="1">
      <alignment horizontal="center" vertical="center"/>
    </xf>
    <xf numFmtId="167" fontId="41" fillId="25" borderId="34" xfId="0" applyNumberFormat="1" applyFont="1" applyFill="1" applyBorder="1" applyAlignment="1">
      <alignment horizontal="center" vertical="center"/>
    </xf>
    <xf numFmtId="169" fontId="25" fillId="25" borderId="19" xfId="0" applyNumberFormat="1" applyFont="1" applyFill="1" applyBorder="1" applyAlignment="1">
      <alignment horizontal="center" vertical="center"/>
    </xf>
    <xf numFmtId="167" fontId="26" fillId="25" borderId="9" xfId="0" applyNumberFormat="1" applyFont="1" applyFill="1" applyBorder="1" applyAlignment="1">
      <alignment horizontal="center" vertical="center"/>
    </xf>
    <xf numFmtId="167" fontId="26" fillId="25" borderId="8" xfId="0" applyNumberFormat="1" applyFont="1" applyFill="1" applyBorder="1" applyAlignment="1">
      <alignment horizontal="center" vertical="center"/>
    </xf>
    <xf numFmtId="0" fontId="31" fillId="25" borderId="45" xfId="0" applyFont="1" applyFill="1" applyBorder="1" applyAlignment="1">
      <alignment horizontal="center" vertical="center" wrapText="1"/>
    </xf>
    <xf numFmtId="49" fontId="29" fillId="25" borderId="9" xfId="0" applyNumberFormat="1" applyFont="1" applyFill="1" applyBorder="1" applyAlignment="1">
      <alignment horizontal="center" vertical="center" wrapText="1"/>
    </xf>
    <xf numFmtId="0" fontId="29" fillId="25" borderId="8" xfId="0" applyFont="1" applyFill="1" applyBorder="1" applyAlignment="1">
      <alignment horizontal="center" vertical="center" wrapText="1"/>
    </xf>
    <xf numFmtId="0" fontId="33" fillId="25" borderId="19" xfId="0" applyFont="1" applyFill="1" applyBorder="1" applyAlignment="1">
      <alignment vertical="center" wrapText="1"/>
    </xf>
    <xf numFmtId="0" fontId="25" fillId="25" borderId="18" xfId="0" applyFont="1" applyFill="1" applyBorder="1" applyAlignment="1">
      <alignment horizontal="center" vertical="center" wrapText="1"/>
    </xf>
    <xf numFmtId="167" fontId="30" fillId="25" borderId="1" xfId="0" applyNumberFormat="1" applyFont="1" applyFill="1" applyBorder="1" applyAlignment="1">
      <alignment vertical="center"/>
    </xf>
    <xf numFmtId="167" fontId="25" fillId="25" borderId="18" xfId="0" applyNumberFormat="1" applyFont="1" applyFill="1" applyBorder="1" applyAlignment="1">
      <alignment vertical="center"/>
    </xf>
    <xf numFmtId="167" fontId="25" fillId="25" borderId="1" xfId="0" applyNumberFormat="1" applyFont="1" applyFill="1" applyBorder="1" applyAlignment="1">
      <alignment vertical="center"/>
    </xf>
    <xf numFmtId="0" fontId="25" fillId="25" borderId="0" xfId="0" applyFont="1" applyFill="1"/>
    <xf numFmtId="0" fontId="38" fillId="25" borderId="26" xfId="0" applyFont="1" applyFill="1" applyBorder="1" applyAlignment="1">
      <alignment horizontal="center" vertical="center"/>
    </xf>
    <xf numFmtId="0" fontId="29" fillId="25" borderId="19" xfId="0" applyFont="1" applyFill="1" applyBorder="1" applyAlignment="1">
      <alignment vertical="center" wrapText="1"/>
    </xf>
    <xf numFmtId="49" fontId="25" fillId="25" borderId="18" xfId="0" applyNumberFormat="1" applyFont="1" applyFill="1" applyBorder="1" applyAlignment="1">
      <alignment horizontal="center" vertical="center"/>
    </xf>
    <xf numFmtId="170" fontId="26" fillId="25" borderId="18" xfId="0" applyNumberFormat="1" applyFont="1" applyFill="1" applyBorder="1" applyAlignment="1">
      <alignment horizontal="center" vertical="center"/>
    </xf>
    <xf numFmtId="173" fontId="38" fillId="25" borderId="18" xfId="0" applyNumberFormat="1" applyFont="1" applyFill="1" applyBorder="1" applyAlignment="1">
      <alignment horizontal="center" vertical="center"/>
    </xf>
    <xf numFmtId="164" fontId="29" fillId="25" borderId="9" xfId="0" applyNumberFormat="1" applyFont="1" applyFill="1" applyBorder="1" applyAlignment="1">
      <alignment horizontal="center" vertical="center"/>
    </xf>
    <xf numFmtId="169" fontId="29" fillId="25" borderId="1" xfId="0" applyNumberFormat="1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vertical="center" wrapText="1"/>
    </xf>
    <xf numFmtId="0" fontId="31" fillId="25" borderId="19" xfId="0" applyFont="1" applyFill="1" applyBorder="1" applyAlignment="1">
      <alignment horizontal="center" vertical="center"/>
    </xf>
    <xf numFmtId="166" fontId="26" fillId="25" borderId="18" xfId="0" applyNumberFormat="1" applyFont="1" applyFill="1" applyBorder="1" applyAlignment="1">
      <alignment horizontal="center" vertical="center"/>
    </xf>
    <xf numFmtId="0" fontId="25" fillId="25" borderId="21" xfId="0" applyFont="1" applyFill="1" applyBorder="1" applyAlignment="1">
      <alignment horizontal="center" vertical="center"/>
    </xf>
    <xf numFmtId="167" fontId="26" fillId="25" borderId="42" xfId="0" applyNumberFormat="1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horizontal="center" vertical="center"/>
    </xf>
    <xf numFmtId="0" fontId="31" fillId="25" borderId="26" xfId="0" applyFont="1" applyFill="1" applyBorder="1" applyAlignment="1">
      <alignment horizontal="center" vertical="center"/>
    </xf>
    <xf numFmtId="164" fontId="31" fillId="25" borderId="9" xfId="0" applyNumberFormat="1" applyFont="1" applyFill="1" applyBorder="1" applyAlignment="1">
      <alignment horizontal="center" vertical="center"/>
    </xf>
    <xf numFmtId="49" fontId="25" fillId="25" borderId="4" xfId="0" applyNumberFormat="1" applyFont="1" applyFill="1" applyBorder="1" applyAlignment="1">
      <alignment vertical="center" wrapText="1"/>
    </xf>
    <xf numFmtId="0" fontId="38" fillId="25" borderId="19" xfId="0" applyFont="1" applyFill="1" applyBorder="1" applyAlignment="1">
      <alignment vertical="center" wrapText="1"/>
    </xf>
    <xf numFmtId="167" fontId="25" fillId="25" borderId="18" xfId="0" applyNumberFormat="1" applyFont="1" applyFill="1" applyBorder="1" applyAlignment="1">
      <alignment horizontal="center" vertical="center"/>
    </xf>
    <xf numFmtId="167" fontId="25" fillId="25" borderId="1" xfId="0" applyNumberFormat="1" applyFont="1" applyFill="1" applyBorder="1" applyAlignment="1">
      <alignment horizontal="center" vertical="center"/>
    </xf>
    <xf numFmtId="167" fontId="31" fillId="25" borderId="18" xfId="0" applyNumberFormat="1" applyFont="1" applyFill="1" applyBorder="1" applyAlignment="1">
      <alignment horizontal="center" vertical="center"/>
    </xf>
    <xf numFmtId="167" fontId="31" fillId="25" borderId="9" xfId="0" applyNumberFormat="1" applyFont="1" applyFill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5" fillId="25" borderId="45" xfId="0" applyFont="1" applyFill="1" applyBorder="1" applyAlignment="1">
      <alignment horizontal="center" vertical="center" wrapText="1"/>
    </xf>
    <xf numFmtId="168" fontId="25" fillId="25" borderId="1" xfId="0" applyNumberFormat="1" applyFont="1" applyFill="1" applyBorder="1" applyAlignment="1">
      <alignment horizontal="center" vertical="center"/>
    </xf>
    <xf numFmtId="164" fontId="25" fillId="25" borderId="10" xfId="0" applyNumberFormat="1" applyFont="1" applyFill="1" applyBorder="1" applyAlignment="1">
      <alignment horizontal="center" vertical="center"/>
    </xf>
    <xf numFmtId="0" fontId="33" fillId="25" borderId="21" xfId="0" applyFont="1" applyFill="1" applyBorder="1" applyAlignment="1">
      <alignment vertical="center" wrapText="1"/>
    </xf>
    <xf numFmtId="49" fontId="31" fillId="25" borderId="9" xfId="0" applyNumberFormat="1" applyFont="1" applyFill="1" applyBorder="1" applyAlignment="1">
      <alignment horizontal="left" vertical="center" wrapText="1"/>
    </xf>
    <xf numFmtId="0" fontId="31" fillId="25" borderId="9" xfId="0" applyFont="1" applyFill="1" applyBorder="1" applyAlignment="1">
      <alignment vertical="center" wrapText="1"/>
    </xf>
    <xf numFmtId="0" fontId="26" fillId="25" borderId="2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18" xfId="0" applyFont="1" applyFill="1" applyBorder="1" applyAlignment="1">
      <alignment horizontal="center" vertical="center" wrapText="1"/>
    </xf>
    <xf numFmtId="0" fontId="26" fillId="25" borderId="19" xfId="0" applyFont="1" applyFill="1" applyBorder="1" applyAlignment="1">
      <alignment horizontal="center" vertical="center"/>
    </xf>
    <xf numFmtId="49" fontId="25" fillId="25" borderId="34" xfId="0" applyNumberFormat="1" applyFont="1" applyFill="1" applyBorder="1" applyAlignment="1">
      <alignment horizontal="center" vertical="center"/>
    </xf>
    <xf numFmtId="0" fontId="40" fillId="25" borderId="1" xfId="0" applyFont="1" applyFill="1" applyBorder="1" applyAlignment="1">
      <alignment horizontal="center" vertical="center"/>
    </xf>
    <xf numFmtId="0" fontId="41" fillId="25" borderId="26" xfId="0" applyFont="1" applyFill="1" applyBorder="1" applyAlignment="1">
      <alignment horizontal="center" vertical="center"/>
    </xf>
    <xf numFmtId="0" fontId="40" fillId="25" borderId="18" xfId="0" applyFont="1" applyFill="1" applyBorder="1" applyAlignment="1">
      <alignment horizontal="center" vertical="center" wrapText="1"/>
    </xf>
    <xf numFmtId="0" fontId="38" fillId="25" borderId="19" xfId="0" applyFont="1" applyFill="1" applyBorder="1" applyAlignment="1">
      <alignment horizontal="center" vertical="center"/>
    </xf>
    <xf numFmtId="49" fontId="25" fillId="25" borderId="1" xfId="0" applyNumberFormat="1" applyFont="1" applyFill="1" applyBorder="1" applyAlignment="1">
      <alignment vertical="center" wrapText="1"/>
    </xf>
    <xf numFmtId="49" fontId="25" fillId="25" borderId="19" xfId="0" applyNumberFormat="1" applyFont="1" applyFill="1" applyBorder="1" applyAlignment="1">
      <alignment vertical="center" wrapText="1"/>
    </xf>
    <xf numFmtId="49" fontId="25" fillId="25" borderId="21" xfId="0" applyNumberFormat="1" applyFont="1" applyFill="1" applyBorder="1" applyAlignment="1">
      <alignment vertical="center" wrapText="1"/>
    </xf>
    <xf numFmtId="172" fontId="26" fillId="25" borderId="18" xfId="0" applyNumberFormat="1" applyFont="1" applyFill="1" applyBorder="1" applyAlignment="1">
      <alignment horizontal="center" vertical="center"/>
    </xf>
    <xf numFmtId="0" fontId="31" fillId="25" borderId="7" xfId="0" applyFont="1" applyFill="1" applyBorder="1" applyAlignment="1">
      <alignment vertical="center" wrapText="1"/>
    </xf>
    <xf numFmtId="167" fontId="38" fillId="25" borderId="34" xfId="0" applyNumberFormat="1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vertical="center" wrapText="1"/>
    </xf>
    <xf numFmtId="168" fontId="29" fillId="25" borderId="1" xfId="0" applyNumberFormat="1" applyFont="1" applyFill="1" applyBorder="1" applyAlignment="1">
      <alignment horizontal="center" vertical="center"/>
    </xf>
    <xf numFmtId="0" fontId="41" fillId="25" borderId="9" xfId="0" applyFont="1" applyFill="1" applyBorder="1" applyAlignment="1">
      <alignment vertical="center" wrapText="1"/>
    </xf>
    <xf numFmtId="0" fontId="25" fillId="25" borderId="20" xfId="0" applyFont="1" applyFill="1" applyBorder="1"/>
    <xf numFmtId="0" fontId="31" fillId="25" borderId="18" xfId="0" applyFont="1" applyFill="1" applyBorder="1" applyAlignment="1">
      <alignment horizontal="center" vertical="center"/>
    </xf>
    <xf numFmtId="0" fontId="31" fillId="25" borderId="9" xfId="0" applyFont="1" applyFill="1" applyBorder="1" applyAlignment="1">
      <alignment horizontal="center" vertical="center"/>
    </xf>
    <xf numFmtId="164" fontId="41" fillId="25" borderId="9" xfId="0" applyNumberFormat="1" applyFont="1" applyFill="1" applyBorder="1" applyAlignment="1">
      <alignment horizontal="center" vertical="center"/>
    </xf>
    <xf numFmtId="169" fontId="26" fillId="25" borderId="1" xfId="0" applyNumberFormat="1" applyFont="1" applyFill="1" applyBorder="1" applyAlignment="1">
      <alignment horizontal="center" vertical="center"/>
    </xf>
    <xf numFmtId="49" fontId="26" fillId="25" borderId="1" xfId="0" applyNumberFormat="1" applyFont="1" applyFill="1" applyBorder="1" applyAlignment="1">
      <alignment vertical="center" wrapText="1"/>
    </xf>
    <xf numFmtId="49" fontId="26" fillId="25" borderId="19" xfId="0" applyNumberFormat="1" applyFont="1" applyFill="1" applyBorder="1" applyAlignment="1">
      <alignment vertical="center" wrapText="1"/>
    </xf>
    <xf numFmtId="167" fontId="25" fillId="25" borderId="22" xfId="0" applyNumberFormat="1" applyFont="1" applyFill="1" applyBorder="1" applyAlignment="1">
      <alignment horizontal="center" vertical="center"/>
    </xf>
    <xf numFmtId="167" fontId="25" fillId="25" borderId="4" xfId="0" applyNumberFormat="1" applyFont="1" applyFill="1" applyBorder="1" applyAlignment="1">
      <alignment horizontal="center" vertical="center"/>
    </xf>
    <xf numFmtId="168" fontId="25" fillId="25" borderId="4" xfId="0" applyNumberFormat="1" applyFont="1" applyFill="1" applyBorder="1" applyAlignment="1">
      <alignment horizontal="center" vertical="center"/>
    </xf>
    <xf numFmtId="0" fontId="25" fillId="25" borderId="46" xfId="0" applyFont="1" applyFill="1" applyBorder="1" applyAlignment="1">
      <alignment horizontal="center" vertical="center" wrapText="1"/>
    </xf>
    <xf numFmtId="49" fontId="25" fillId="25" borderId="22" xfId="0" applyNumberFormat="1" applyFont="1" applyFill="1" applyBorder="1" applyAlignment="1">
      <alignment horizontal="center" vertical="center"/>
    </xf>
    <xf numFmtId="0" fontId="25" fillId="25" borderId="4" xfId="0" applyFont="1" applyFill="1" applyBorder="1" applyAlignment="1">
      <alignment horizontal="center" vertical="center"/>
    </xf>
    <xf numFmtId="0" fontId="25" fillId="25" borderId="4" xfId="0" applyFont="1" applyFill="1" applyBorder="1" applyAlignment="1">
      <alignment vertical="center" wrapText="1"/>
    </xf>
    <xf numFmtId="166" fontId="26" fillId="25" borderId="22" xfId="0" applyNumberFormat="1" applyFont="1" applyFill="1" applyBorder="1" applyAlignment="1">
      <alignment horizontal="center" vertical="center"/>
    </xf>
    <xf numFmtId="167" fontId="40" fillId="25" borderId="22" xfId="0" applyNumberFormat="1" applyFont="1" applyFill="1" applyBorder="1" applyAlignment="1">
      <alignment horizontal="center" vertical="center"/>
    </xf>
    <xf numFmtId="167" fontId="40" fillId="25" borderId="4" xfId="0" applyNumberFormat="1" applyFont="1" applyFill="1" applyBorder="1" applyAlignment="1">
      <alignment horizontal="center" vertical="center"/>
    </xf>
    <xf numFmtId="49" fontId="25" fillId="18" borderId="47" xfId="0" applyNumberFormat="1" applyFont="1" applyFill="1" applyBorder="1" applyAlignment="1">
      <alignment horizontal="center" vertical="center"/>
    </xf>
    <xf numFmtId="0" fontId="42" fillId="26" borderId="0" xfId="0" applyFont="1" applyFill="1"/>
    <xf numFmtId="0" fontId="27" fillId="26" borderId="0" xfId="0" applyFont="1" applyFill="1"/>
    <xf numFmtId="49" fontId="25" fillId="26" borderId="43" xfId="0" applyNumberFormat="1" applyFont="1" applyFill="1" applyBorder="1" applyAlignment="1">
      <alignment horizontal="center" vertical="center"/>
    </xf>
    <xf numFmtId="0" fontId="25" fillId="26" borderId="24" xfId="0" applyFont="1" applyFill="1" applyBorder="1" applyAlignment="1">
      <alignment horizontal="center" vertical="center"/>
    </xf>
    <xf numFmtId="49" fontId="7" fillId="26" borderId="7" xfId="0" applyNumberFormat="1" applyFont="1" applyFill="1" applyBorder="1" applyAlignment="1">
      <alignment horizontal="center" vertical="center"/>
    </xf>
    <xf numFmtId="49" fontId="7" fillId="26" borderId="1" xfId="0" applyNumberFormat="1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vertical="center" wrapText="1"/>
    </xf>
    <xf numFmtId="0" fontId="31" fillId="27" borderId="1" xfId="0" applyFont="1" applyFill="1" applyBorder="1" applyAlignment="1">
      <alignment vertical="center" wrapText="1"/>
    </xf>
    <xf numFmtId="49" fontId="31" fillId="27" borderId="9" xfId="0" applyNumberFormat="1" applyFont="1" applyFill="1" applyBorder="1" applyAlignment="1">
      <alignment vertical="center" wrapText="1"/>
    </xf>
    <xf numFmtId="49" fontId="31" fillId="27" borderId="26" xfId="0" applyNumberFormat="1" applyFont="1" applyFill="1" applyBorder="1" applyAlignment="1">
      <alignment vertical="center" wrapText="1"/>
    </xf>
    <xf numFmtId="49" fontId="26" fillId="3" borderId="43" xfId="0" applyNumberFormat="1" applyFont="1" applyFill="1" applyBorder="1" applyAlignment="1">
      <alignment horizontal="center" vertical="center"/>
    </xf>
    <xf numFmtId="0" fontId="42" fillId="0" borderId="0" xfId="0" applyFont="1"/>
    <xf numFmtId="49" fontId="29" fillId="0" borderId="0" xfId="0" applyNumberFormat="1" applyFont="1" applyAlignment="1">
      <alignment horizontal="center" vertical="center"/>
    </xf>
    <xf numFmtId="0" fontId="27" fillId="20" borderId="27" xfId="0" applyFont="1" applyFill="1" applyBorder="1" applyAlignment="1">
      <alignment horizontal="center" vertical="center" wrapText="1"/>
    </xf>
    <xf numFmtId="49" fontId="26" fillId="23" borderId="43" xfId="0" applyNumberFormat="1" applyFont="1" applyFill="1" applyBorder="1" applyAlignment="1">
      <alignment horizontal="center" vertical="center"/>
    </xf>
    <xf numFmtId="49" fontId="25" fillId="24" borderId="43" xfId="0" applyNumberFormat="1" applyFont="1" applyFill="1" applyBorder="1" applyAlignment="1">
      <alignment horizontal="center" vertical="center"/>
    </xf>
    <xf numFmtId="49" fontId="25" fillId="21" borderId="43" xfId="0" applyNumberFormat="1" applyFont="1" applyFill="1" applyBorder="1" applyAlignment="1">
      <alignment horizontal="center" vertical="center"/>
    </xf>
    <xf numFmtId="164" fontId="29" fillId="24" borderId="9" xfId="0" applyNumberFormat="1" applyFont="1" applyFill="1" applyBorder="1" applyAlignment="1">
      <alignment horizontal="center" vertical="center"/>
    </xf>
    <xf numFmtId="169" fontId="29" fillId="24" borderId="1" xfId="0" applyNumberFormat="1" applyFont="1" applyFill="1" applyBorder="1" applyAlignment="1">
      <alignment horizontal="center" vertical="center"/>
    </xf>
    <xf numFmtId="166" fontId="38" fillId="24" borderId="18" xfId="0" applyNumberFormat="1" applyFont="1" applyFill="1" applyBorder="1" applyAlignment="1">
      <alignment horizontal="center" vertical="center"/>
    </xf>
    <xf numFmtId="167" fontId="38" fillId="24" borderId="8" xfId="0" applyNumberFormat="1" applyFont="1" applyFill="1" applyBorder="1" applyAlignment="1">
      <alignment horizontal="center" vertical="center"/>
    </xf>
    <xf numFmtId="167" fontId="29" fillId="24" borderId="22" xfId="0" applyNumberFormat="1" applyFont="1" applyFill="1" applyBorder="1" applyAlignment="1">
      <alignment horizontal="center" vertical="center"/>
    </xf>
    <xf numFmtId="167" fontId="25" fillId="24" borderId="1" xfId="0" applyNumberFormat="1" applyFont="1" applyFill="1" applyBorder="1" applyAlignment="1">
      <alignment horizontal="center" vertical="center"/>
    </xf>
    <xf numFmtId="169" fontId="29" fillId="24" borderId="19" xfId="0" applyNumberFormat="1" applyFont="1" applyFill="1" applyBorder="1" applyAlignment="1">
      <alignment horizontal="center" vertical="center"/>
    </xf>
    <xf numFmtId="0" fontId="29" fillId="24" borderId="45" xfId="0" applyFont="1" applyFill="1" applyBorder="1" applyAlignment="1">
      <alignment horizontal="center" vertical="center" wrapText="1"/>
    </xf>
    <xf numFmtId="0" fontId="29" fillId="24" borderId="18" xfId="0" applyFont="1" applyFill="1" applyBorder="1" applyAlignment="1">
      <alignment horizontal="center" vertical="center" wrapText="1"/>
    </xf>
    <xf numFmtId="167" fontId="29" fillId="24" borderId="1" xfId="0" applyNumberFormat="1" applyFont="1" applyFill="1" applyBorder="1" applyAlignment="1">
      <alignment vertical="center"/>
    </xf>
    <xf numFmtId="0" fontId="29" fillId="24" borderId="19" xfId="0" applyFont="1" applyFill="1" applyBorder="1" applyAlignment="1">
      <alignment horizontal="center" vertical="center"/>
    </xf>
    <xf numFmtId="167" fontId="29" fillId="24" borderId="18" xfId="0" applyNumberFormat="1" applyFont="1" applyFill="1" applyBorder="1" applyAlignment="1">
      <alignment vertical="center"/>
    </xf>
    <xf numFmtId="0" fontId="26" fillId="24" borderId="19" xfId="0" applyFont="1" applyFill="1" applyBorder="1" applyAlignment="1">
      <alignment horizontal="center" vertical="center"/>
    </xf>
    <xf numFmtId="166" fontId="41" fillId="24" borderId="10" xfId="0" applyNumberFormat="1" applyFont="1" applyFill="1" applyBorder="1" applyAlignment="1">
      <alignment horizontal="center" vertical="center"/>
    </xf>
    <xf numFmtId="167" fontId="41" fillId="24" borderId="34" xfId="0" applyNumberFormat="1" applyFont="1" applyFill="1" applyBorder="1" applyAlignment="1">
      <alignment horizontal="center" vertical="center"/>
    </xf>
    <xf numFmtId="0" fontId="40" fillId="24" borderId="1" xfId="0" applyFont="1" applyFill="1" applyBorder="1" applyAlignment="1">
      <alignment horizontal="center" vertical="center"/>
    </xf>
    <xf numFmtId="166" fontId="26" fillId="24" borderId="22" xfId="0" applyNumberFormat="1" applyFont="1" applyFill="1" applyBorder="1" applyAlignment="1">
      <alignment horizontal="center" vertical="center"/>
    </xf>
    <xf numFmtId="0" fontId="25" fillId="24" borderId="45" xfId="0" applyFont="1" applyFill="1" applyBorder="1" applyAlignment="1">
      <alignment horizontal="center" vertical="center" wrapText="1"/>
    </xf>
    <xf numFmtId="0" fontId="40" fillId="21" borderId="1" xfId="0" applyFont="1" applyFill="1" applyBorder="1" applyAlignment="1">
      <alignment horizontal="center" vertical="center"/>
    </xf>
    <xf numFmtId="166" fontId="26" fillId="21" borderId="22" xfId="0" applyNumberFormat="1" applyFont="1" applyFill="1" applyBorder="1" applyAlignment="1">
      <alignment horizontal="center" vertical="center"/>
    </xf>
    <xf numFmtId="0" fontId="25" fillId="21" borderId="45" xfId="0" applyFont="1" applyFill="1" applyBorder="1" applyAlignment="1">
      <alignment horizontal="center" vertical="center" wrapText="1"/>
    </xf>
    <xf numFmtId="49" fontId="31" fillId="24" borderId="9" xfId="0" applyNumberFormat="1" applyFont="1" applyFill="1" applyBorder="1" applyAlignment="1">
      <alignment vertical="center" wrapText="1"/>
    </xf>
    <xf numFmtId="49" fontId="25" fillId="24" borderId="4" xfId="0" applyNumberFormat="1" applyFont="1" applyFill="1" applyBorder="1" applyAlignment="1">
      <alignment vertical="center" wrapText="1"/>
    </xf>
    <xf numFmtId="49" fontId="25" fillId="24" borderId="21" xfId="0" applyNumberFormat="1" applyFont="1" applyFill="1" applyBorder="1" applyAlignment="1">
      <alignment vertical="center" wrapText="1"/>
    </xf>
    <xf numFmtId="0" fontId="4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164" fontId="31" fillId="0" borderId="9" xfId="0" applyNumberFormat="1" applyFont="1" applyBorder="1" applyAlignment="1">
      <alignment horizontal="center" vertical="center"/>
    </xf>
    <xf numFmtId="166" fontId="26" fillId="0" borderId="22" xfId="0" applyNumberFormat="1" applyFont="1" applyBorder="1" applyAlignment="1">
      <alignment horizontal="center" vertical="center"/>
    </xf>
    <xf numFmtId="167" fontId="29" fillId="0" borderId="22" xfId="0" applyNumberFormat="1" applyFont="1" applyBorder="1" applyAlignment="1">
      <alignment horizontal="center" vertical="center"/>
    </xf>
    <xf numFmtId="168" fontId="31" fillId="0" borderId="9" xfId="0" applyNumberFormat="1" applyFont="1" applyBorder="1" applyAlignment="1">
      <alignment horizontal="center" vertical="center"/>
    </xf>
    <xf numFmtId="167" fontId="37" fillId="6" borderId="0" xfId="0" applyNumberFormat="1" applyFont="1" applyFill="1" applyAlignment="1">
      <alignment vertical="center"/>
    </xf>
    <xf numFmtId="167" fontId="18" fillId="6" borderId="2" xfId="0" applyNumberFormat="1" applyFont="1" applyFill="1" applyBorder="1" applyAlignment="1">
      <alignment vertical="center"/>
    </xf>
    <xf numFmtId="167" fontId="20" fillId="8" borderId="2" xfId="0" applyNumberFormat="1" applyFont="1" applyFill="1" applyBorder="1" applyAlignment="1">
      <alignment vertical="center"/>
    </xf>
    <xf numFmtId="17" fontId="20" fillId="9" borderId="0" xfId="0" applyNumberFormat="1" applyFont="1" applyFill="1" applyAlignment="1">
      <alignment vertical="center"/>
    </xf>
    <xf numFmtId="0" fontId="18" fillId="6" borderId="2" xfId="0" applyFont="1" applyFill="1" applyBorder="1" applyAlignment="1">
      <alignment vertical="center"/>
    </xf>
    <xf numFmtId="167" fontId="0" fillId="28" borderId="2" xfId="0" applyNumberFormat="1" applyFill="1" applyBorder="1" applyAlignment="1">
      <alignment vertical="center"/>
    </xf>
    <xf numFmtId="167" fontId="18" fillId="28" borderId="2" xfId="0" applyNumberFormat="1" applyFont="1" applyFill="1" applyBorder="1" applyAlignment="1">
      <alignment vertical="center"/>
    </xf>
    <xf numFmtId="0" fontId="24" fillId="28" borderId="2" xfId="0" applyFont="1" applyFill="1" applyBorder="1" applyAlignment="1">
      <alignment horizontal="right" vertical="center" wrapText="1"/>
    </xf>
    <xf numFmtId="0" fontId="18" fillId="28" borderId="2" xfId="0" applyFont="1" applyFill="1" applyBorder="1" applyAlignment="1">
      <alignment horizontal="right" vertical="center"/>
    </xf>
    <xf numFmtId="167" fontId="18" fillId="29" borderId="2" xfId="0" applyNumberFormat="1" applyFont="1" applyFill="1" applyBorder="1" applyAlignment="1">
      <alignment vertical="center"/>
    </xf>
    <xf numFmtId="0" fontId="18" fillId="29" borderId="2" xfId="0" applyFont="1" applyFill="1" applyBorder="1" applyAlignment="1">
      <alignment horizontal="right" vertical="center"/>
    </xf>
    <xf numFmtId="166" fontId="38" fillId="0" borderId="18" xfId="0" applyNumberFormat="1" applyFont="1" applyBorder="1" applyAlignment="1">
      <alignment horizontal="center" vertical="center"/>
    </xf>
    <xf numFmtId="168" fontId="2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8" fillId="0" borderId="19" xfId="0" applyFont="1" applyBorder="1" applyAlignment="1">
      <alignment vertical="center" wrapText="1"/>
    </xf>
    <xf numFmtId="49" fontId="25" fillId="0" borderId="45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49" fontId="25" fillId="0" borderId="1" xfId="0" applyNumberFormat="1" applyFont="1" applyBorder="1" applyAlignment="1">
      <alignment vertical="center" wrapText="1"/>
    </xf>
    <xf numFmtId="49" fontId="25" fillId="0" borderId="19" xfId="0" applyNumberFormat="1" applyFont="1" applyBorder="1" applyAlignment="1">
      <alignment vertical="center" wrapText="1"/>
    </xf>
    <xf numFmtId="0" fontId="25" fillId="0" borderId="13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172" fontId="26" fillId="0" borderId="18" xfId="0" applyNumberFormat="1" applyFont="1" applyBorder="1" applyAlignment="1">
      <alignment horizontal="center" vertical="center"/>
    </xf>
    <xf numFmtId="167" fontId="41" fillId="0" borderId="34" xfId="0" applyNumberFormat="1" applyFont="1" applyBorder="1" applyAlignment="1">
      <alignment horizontal="center" vertical="center"/>
    </xf>
    <xf numFmtId="0" fontId="41" fillId="24" borderId="9" xfId="0" applyFont="1" applyFill="1" applyBorder="1" applyAlignment="1">
      <alignment vertical="center" wrapText="1"/>
    </xf>
    <xf numFmtId="0" fontId="41" fillId="21" borderId="9" xfId="0" applyFont="1" applyFill="1" applyBorder="1" applyAlignment="1">
      <alignment vertical="center" wrapText="1"/>
    </xf>
    <xf numFmtId="49" fontId="31" fillId="30" borderId="9" xfId="0" applyNumberFormat="1" applyFont="1" applyFill="1" applyBorder="1" applyAlignment="1">
      <alignment vertical="center" wrapText="1"/>
    </xf>
    <xf numFmtId="49" fontId="31" fillId="30" borderId="26" xfId="0" applyNumberFormat="1" applyFont="1" applyFill="1" applyBorder="1" applyAlignment="1">
      <alignment vertical="center" wrapText="1"/>
    </xf>
    <xf numFmtId="0" fontId="38" fillId="18" borderId="19" xfId="0" applyFont="1" applyFill="1" applyBorder="1" applyAlignment="1">
      <alignment horizontal="center" vertical="center"/>
    </xf>
    <xf numFmtId="49" fontId="31" fillId="18" borderId="4" xfId="0" applyNumberFormat="1" applyFont="1" applyFill="1" applyBorder="1" applyAlignment="1">
      <alignment vertical="center" wrapText="1"/>
    </xf>
    <xf numFmtId="49" fontId="25" fillId="4" borderId="4" xfId="0" applyNumberFormat="1" applyFont="1" applyFill="1" applyBorder="1" applyAlignment="1">
      <alignment vertical="center" wrapText="1"/>
    </xf>
    <xf numFmtId="49" fontId="18" fillId="6" borderId="0" xfId="0" applyNumberFormat="1" applyFont="1" applyFill="1" applyAlignment="1">
      <alignment vertical="center"/>
    </xf>
    <xf numFmtId="0" fontId="7" fillId="4" borderId="35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167" fontId="9" fillId="6" borderId="0" xfId="0" applyNumberFormat="1" applyFont="1" applyFill="1" applyAlignment="1">
      <alignment horizontal="center"/>
    </xf>
    <xf numFmtId="0" fontId="4" fillId="4" borderId="3" xfId="0" applyFont="1" applyFill="1" applyBorder="1" applyAlignment="1">
      <alignment horizontal="right" vertical="center"/>
    </xf>
    <xf numFmtId="0" fontId="4" fillId="4" borderId="12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right" vertical="center"/>
    </xf>
    <xf numFmtId="167" fontId="9" fillId="4" borderId="3" xfId="0" applyNumberFormat="1" applyFont="1" applyFill="1" applyBorder="1" applyAlignment="1">
      <alignment horizontal="left" vertical="center"/>
    </xf>
    <xf numFmtId="167" fontId="9" fillId="4" borderId="12" xfId="0" applyNumberFormat="1" applyFont="1" applyFill="1" applyBorder="1" applyAlignment="1">
      <alignment horizontal="left" vertical="center"/>
    </xf>
    <xf numFmtId="164" fontId="4" fillId="19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49" fontId="1" fillId="0" borderId="3" xfId="0" applyNumberFormat="1" applyFon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6" xfId="0" applyNumberFormat="1" applyFont="1" applyBorder="1" applyAlignment="1">
      <alignment horizontal="right" vertical="center"/>
    </xf>
    <xf numFmtId="167" fontId="9" fillId="4" borderId="1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51" fillId="19" borderId="3" xfId="0" applyFont="1" applyFill="1" applyBorder="1" applyAlignment="1">
      <alignment horizontal="center" vertical="center" wrapText="1"/>
    </xf>
    <xf numFmtId="0" fontId="51" fillId="19" borderId="6" xfId="0" applyFont="1" applyFill="1" applyBorder="1" applyAlignment="1">
      <alignment horizontal="center" vertical="center" wrapText="1"/>
    </xf>
    <xf numFmtId="49" fontId="48" fillId="6" borderId="3" xfId="0" applyNumberFormat="1" applyFont="1" applyFill="1" applyBorder="1" applyAlignment="1">
      <alignment horizontal="right" vertical="center"/>
    </xf>
    <xf numFmtId="49" fontId="48" fillId="6" borderId="12" xfId="0" applyNumberFormat="1" applyFont="1" applyFill="1" applyBorder="1" applyAlignment="1">
      <alignment horizontal="right" vertical="center"/>
    </xf>
    <xf numFmtId="49" fontId="48" fillId="4" borderId="3" xfId="0" applyNumberFormat="1" applyFont="1" applyFill="1" applyBorder="1" applyAlignment="1">
      <alignment horizontal="right" vertical="center"/>
    </xf>
    <xf numFmtId="49" fontId="48" fillId="4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5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</dxf>
    <dxf>
      <font>
        <color rgb="FF00B050"/>
      </font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colors>
    <mruColors>
      <color rgb="FFFFECFC"/>
      <color rgb="FFDEC9FF"/>
      <color rgb="FFFFC4F8"/>
      <color rgb="FFE5F6FF"/>
      <color rgb="FFEBE9FD"/>
      <color rgb="FF9E8FB9"/>
      <color rgb="FFE5EDFF"/>
      <color rgb="FFFFF6D0"/>
      <color rgb="FFF3F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29</xdr:row>
      <xdr:rowOff>333375</xdr:rowOff>
    </xdr:from>
    <xdr:to>
      <xdr:col>12</xdr:col>
      <xdr:colOff>742596</xdr:colOff>
      <xdr:row>29</xdr:row>
      <xdr:rowOff>2398624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9CB7AFE-8D4A-114D-8862-FEC116FF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684250" y="1317625"/>
          <a:ext cx="1679221" cy="2065249"/>
        </a:xfrm>
        <a:prstGeom prst="rect">
          <a:avLst/>
        </a:prstGeom>
      </xdr:spPr>
    </xdr:pic>
    <xdr:clientData/>
  </xdr:twoCellAnchor>
  <xdr:twoCellAnchor editAs="oneCell">
    <xdr:from>
      <xdr:col>1</xdr:col>
      <xdr:colOff>269875</xdr:colOff>
      <xdr:row>69</xdr:row>
      <xdr:rowOff>571500</xdr:rowOff>
    </xdr:from>
    <xdr:to>
      <xdr:col>11</xdr:col>
      <xdr:colOff>631471</xdr:colOff>
      <xdr:row>70</xdr:row>
      <xdr:rowOff>1499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BA76C29-A03B-C741-AD70-7DE8ACF9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5375" y="20796250"/>
          <a:ext cx="1679221" cy="20652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116</xdr:row>
      <xdr:rowOff>523875</xdr:rowOff>
    </xdr:from>
    <xdr:to>
      <xdr:col>11</xdr:col>
      <xdr:colOff>631471</xdr:colOff>
      <xdr:row>116</xdr:row>
      <xdr:rowOff>2589124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3A41B682-58D4-4445-AE6B-89E5CF642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0" y="25669875"/>
          <a:ext cx="1679221" cy="2065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1AA0-82BE-6344-9A6A-CA3AFE976F9F}">
  <sheetPr filterMode="1">
    <pageSetUpPr fitToPage="1"/>
  </sheetPr>
  <dimension ref="A1:AJ218"/>
  <sheetViews>
    <sheetView topLeftCell="L1" zoomScale="80" zoomScaleNormal="80" workbookViewId="0">
      <pane ySplit="6" topLeftCell="A110" activePane="bottomLeft" state="frozen"/>
      <selection pane="bottomLeft" activeCell="P135" sqref="P135:P143"/>
    </sheetView>
  </sheetViews>
  <sheetFormatPr baseColWidth="10" defaultRowHeight="56" customHeight="1" x14ac:dyDescent="0.2"/>
  <cols>
    <col min="1" max="1" width="7" style="917" customWidth="1"/>
    <col min="2" max="2" width="12.33203125" style="922" customWidth="1"/>
    <col min="3" max="3" width="9.6640625" style="7" customWidth="1"/>
    <col min="4" max="4" width="9.6640625" style="98" customWidth="1"/>
    <col min="5" max="5" width="21.6640625" style="98" customWidth="1"/>
    <col min="6" max="6" width="18" style="98" customWidth="1"/>
    <col min="7" max="7" width="22.1640625" style="98" customWidth="1"/>
    <col min="8" max="8" width="12.6640625" style="7" customWidth="1"/>
    <col min="9" max="9" width="14.33203125" style="7" customWidth="1"/>
    <col min="10" max="10" width="12.6640625" style="7" customWidth="1"/>
    <col min="11" max="11" width="14.33203125" style="7" customWidth="1"/>
    <col min="12" max="12" width="12.6640625" style="110" customWidth="1"/>
    <col min="13" max="13" width="17.83203125" style="111" customWidth="1"/>
    <col min="14" max="14" width="45.6640625" style="95" customWidth="1"/>
    <col min="15" max="15" width="50.1640625" style="96" customWidth="1"/>
    <col min="16" max="16" width="38.5" style="96" customWidth="1"/>
    <col min="17" max="17" width="39.33203125" style="96" customWidth="1"/>
    <col min="18" max="18" width="18.33203125" style="199" customWidth="1"/>
    <col min="19" max="19" width="18" style="192" customWidth="1"/>
    <col min="20" max="21" width="18" style="352" customWidth="1"/>
    <col min="22" max="22" width="15.33203125" style="112" customWidth="1"/>
    <col min="23" max="23" width="15.33203125" style="8" customWidth="1"/>
    <col min="24" max="24" width="20.5" style="192" customWidth="1"/>
    <col min="25" max="25" width="17.1640625" style="192" customWidth="1"/>
    <col min="26" max="26" width="13.1640625" style="9" customWidth="1"/>
    <col min="27" max="27" width="17.6640625" style="9" customWidth="1"/>
    <col min="28" max="28" width="20" style="9" customWidth="1"/>
    <col min="29" max="29" width="48.33203125" style="95" customWidth="1"/>
    <col min="30" max="30" width="17" style="9" customWidth="1"/>
    <col min="31" max="31" width="17" style="11" customWidth="1"/>
    <col min="32" max="32" width="20.83203125" style="10" customWidth="1"/>
    <col min="33" max="34" width="19.6640625" style="113" customWidth="1"/>
    <col min="35" max="35" width="30.33203125" style="5" customWidth="1"/>
  </cols>
  <sheetData>
    <row r="1" spans="1:35" ht="56" customHeight="1" x14ac:dyDescent="0.2">
      <c r="A1" s="928"/>
      <c r="B1" s="89"/>
      <c r="C1" s="12"/>
      <c r="D1" s="89"/>
      <c r="E1" s="89"/>
      <c r="F1" s="89"/>
      <c r="G1" s="89"/>
      <c r="H1" s="12"/>
      <c r="I1" s="12"/>
      <c r="J1" s="12"/>
      <c r="K1" s="12"/>
      <c r="L1" s="90"/>
      <c r="M1" s="91"/>
      <c r="N1" s="92"/>
      <c r="O1" s="93"/>
      <c r="P1" s="93"/>
      <c r="Q1" s="93"/>
      <c r="R1" s="195"/>
      <c r="S1" s="97"/>
      <c r="T1" s="347"/>
      <c r="U1" s="347"/>
      <c r="V1" s="94"/>
      <c r="W1" s="13"/>
      <c r="X1" s="97"/>
      <c r="Y1" s="97"/>
      <c r="Z1" s="24"/>
      <c r="AA1" s="24"/>
      <c r="AB1" s="24"/>
      <c r="AC1" s="92"/>
      <c r="AD1" s="24"/>
      <c r="AE1" s="25"/>
      <c r="AF1" s="23"/>
      <c r="AG1"/>
      <c r="AH1"/>
      <c r="AI1" s="277"/>
    </row>
    <row r="2" spans="1:35" ht="75" hidden="1" customHeight="1" x14ac:dyDescent="0.2">
      <c r="A2" s="928"/>
      <c r="B2" s="89"/>
      <c r="C2" s="12"/>
      <c r="D2" s="89"/>
      <c r="E2" s="89"/>
      <c r="F2" s="89"/>
      <c r="G2" s="89"/>
      <c r="H2" s="12"/>
      <c r="I2" s="12"/>
      <c r="J2" s="12"/>
      <c r="K2" s="12"/>
      <c r="L2" s="90"/>
      <c r="M2" s="91"/>
      <c r="N2" s="92">
        <f>290.79-123</f>
        <v>167.79000000000002</v>
      </c>
      <c r="O2" s="93"/>
      <c r="P2" s="93"/>
      <c r="Q2" s="93"/>
      <c r="R2" s="195"/>
      <c r="S2" s="97"/>
      <c r="T2" s="347"/>
      <c r="U2" s="347"/>
      <c r="V2" s="94"/>
      <c r="W2" s="13"/>
      <c r="X2" s="97"/>
      <c r="Y2" s="97"/>
      <c r="Z2" s="24"/>
      <c r="AA2" s="24"/>
      <c r="AB2" s="24"/>
      <c r="AC2" s="92"/>
      <c r="AD2" s="997" t="s">
        <v>19</v>
      </c>
      <c r="AE2" s="998"/>
      <c r="AF2" s="999"/>
      <c r="AG2" s="271"/>
      <c r="AH2" s="272"/>
      <c r="AI2" s="273"/>
    </row>
    <row r="3" spans="1:35" s="172" customFormat="1" ht="90" customHeight="1" thickBot="1" x14ac:dyDescent="0.3">
      <c r="A3" s="316"/>
      <c r="B3" s="162"/>
      <c r="C3" s="163"/>
      <c r="D3" s="162"/>
      <c r="E3" s="162"/>
      <c r="F3" s="162"/>
      <c r="G3" s="162"/>
      <c r="H3" s="163"/>
      <c r="I3" s="163"/>
      <c r="J3" s="163"/>
      <c r="K3" s="163"/>
      <c r="L3" s="164"/>
      <c r="M3" s="165"/>
      <c r="N3" s="207" t="s">
        <v>2</v>
      </c>
      <c r="O3" s="208" t="s">
        <v>638</v>
      </c>
      <c r="P3" s="166"/>
      <c r="Q3" s="167"/>
      <c r="R3" s="196"/>
      <c r="S3" s="173"/>
      <c r="T3" s="348"/>
      <c r="U3" s="348"/>
      <c r="V3" s="168"/>
      <c r="W3" s="169"/>
      <c r="X3" s="173"/>
      <c r="Y3" s="173"/>
      <c r="Z3" s="170"/>
      <c r="AA3" s="170"/>
      <c r="AB3" s="170"/>
      <c r="AC3" s="171"/>
      <c r="AD3" s="1000"/>
      <c r="AE3" s="1001"/>
      <c r="AF3" s="1002"/>
      <c r="AG3" s="274" t="s">
        <v>21</v>
      </c>
      <c r="AH3" s="275" t="s">
        <v>25</v>
      </c>
      <c r="AI3" s="276"/>
    </row>
    <row r="4" spans="1:35" s="317" customFormat="1" ht="31" hidden="1" customHeight="1" thickBot="1" x14ac:dyDescent="0.3">
      <c r="A4" s="533"/>
      <c r="B4" s="929"/>
      <c r="C4" s="318" t="s">
        <v>637</v>
      </c>
      <c r="D4" s="318"/>
      <c r="E4" s="318"/>
      <c r="F4" s="318"/>
      <c r="G4" s="318"/>
      <c r="H4" s="319"/>
      <c r="I4" s="319"/>
      <c r="J4" s="319"/>
      <c r="K4" s="319"/>
      <c r="L4" s="320"/>
      <c r="M4" s="321"/>
      <c r="N4" s="322"/>
      <c r="O4" s="323"/>
      <c r="P4" s="324"/>
      <c r="Q4" s="324"/>
      <c r="R4" s="325"/>
      <c r="S4" s="326"/>
      <c r="T4" s="349"/>
      <c r="U4" s="349"/>
      <c r="V4" s="327"/>
      <c r="W4" s="328"/>
      <c r="X4" s="319"/>
      <c r="Y4" s="326"/>
      <c r="Z4" s="326"/>
      <c r="AA4" s="329"/>
      <c r="AB4" s="330"/>
      <c r="AC4" s="331"/>
      <c r="AD4" s="1003"/>
      <c r="AE4" s="1004"/>
      <c r="AF4" s="1005"/>
      <c r="AG4" s="332"/>
      <c r="AH4" s="333"/>
      <c r="AI4" s="334"/>
    </row>
    <row r="5" spans="1:35" s="317" customFormat="1" ht="35" hidden="1" customHeight="1" thickBot="1" x14ac:dyDescent="0.3">
      <c r="A5" s="533"/>
      <c r="B5" s="929"/>
      <c r="C5" s="319"/>
      <c r="D5" s="318"/>
      <c r="E5" s="318"/>
      <c r="F5" s="318"/>
      <c r="G5" s="318"/>
      <c r="H5" s="319"/>
      <c r="I5" s="319"/>
      <c r="J5" s="319"/>
      <c r="K5" s="319"/>
      <c r="L5" s="320"/>
      <c r="M5" s="321"/>
      <c r="N5" s="335"/>
      <c r="O5" s="324"/>
      <c r="P5" s="324"/>
      <c r="Q5" s="324"/>
      <c r="R5" s="325"/>
      <c r="S5" s="326"/>
      <c r="T5" s="349"/>
      <c r="U5" s="349"/>
      <c r="V5" s="327"/>
      <c r="W5" s="328"/>
      <c r="X5" s="326"/>
      <c r="Y5" s="326"/>
      <c r="Z5" s="336" t="s">
        <v>24</v>
      </c>
      <c r="AA5" s="336" t="s">
        <v>18</v>
      </c>
      <c r="AB5" s="330"/>
      <c r="AC5" s="335"/>
      <c r="AD5" s="337" t="s">
        <v>18</v>
      </c>
      <c r="AE5" s="337" t="s">
        <v>18</v>
      </c>
      <c r="AF5" s="337"/>
      <c r="AG5" s="335" t="s">
        <v>14</v>
      </c>
      <c r="AH5" s="338" t="s">
        <v>24</v>
      </c>
      <c r="AI5" s="335"/>
    </row>
    <row r="6" spans="1:35" s="172" customFormat="1" ht="113" customHeight="1" x14ac:dyDescent="0.25">
      <c r="A6" s="316"/>
      <c r="B6" s="930" t="s">
        <v>153</v>
      </c>
      <c r="C6" s="291" t="s">
        <v>350</v>
      </c>
      <c r="D6" s="292" t="s">
        <v>152</v>
      </c>
      <c r="E6" s="267" t="s">
        <v>154</v>
      </c>
      <c r="F6" s="267" t="s">
        <v>142</v>
      </c>
      <c r="G6" s="310" t="s">
        <v>146</v>
      </c>
      <c r="H6" s="291" t="s">
        <v>417</v>
      </c>
      <c r="I6" s="209" t="s">
        <v>418</v>
      </c>
      <c r="J6" s="209" t="s">
        <v>419</v>
      </c>
      <c r="K6" s="215" t="s">
        <v>351</v>
      </c>
      <c r="L6" s="315" t="s">
        <v>147</v>
      </c>
      <c r="M6" s="210" t="s">
        <v>106</v>
      </c>
      <c r="N6" s="209" t="s">
        <v>3</v>
      </c>
      <c r="O6" s="211" t="s">
        <v>4</v>
      </c>
      <c r="P6" s="211" t="s">
        <v>100</v>
      </c>
      <c r="Q6" s="212" t="s">
        <v>5</v>
      </c>
      <c r="R6" s="213" t="s">
        <v>416</v>
      </c>
      <c r="S6" s="295" t="s">
        <v>107</v>
      </c>
      <c r="T6" s="353" t="s">
        <v>157</v>
      </c>
      <c r="U6" s="354" t="s">
        <v>158</v>
      </c>
      <c r="V6" s="214" t="s">
        <v>159</v>
      </c>
      <c r="W6" s="299" t="s">
        <v>8</v>
      </c>
      <c r="X6" s="298" t="s">
        <v>108</v>
      </c>
      <c r="Y6" s="295" t="s">
        <v>109</v>
      </c>
      <c r="Z6" s="307" t="s">
        <v>148</v>
      </c>
      <c r="AA6" s="305" t="s">
        <v>110</v>
      </c>
      <c r="AB6" s="282" t="s">
        <v>155</v>
      </c>
      <c r="AC6" s="215" t="s">
        <v>111</v>
      </c>
      <c r="AD6" s="174" t="s">
        <v>112</v>
      </c>
      <c r="AE6" s="175" t="s">
        <v>107</v>
      </c>
      <c r="AF6" s="176" t="s">
        <v>149</v>
      </c>
      <c r="AG6" s="177" t="s">
        <v>16</v>
      </c>
      <c r="AH6" s="178" t="s">
        <v>151</v>
      </c>
      <c r="AI6" s="176" t="s">
        <v>150</v>
      </c>
    </row>
    <row r="7" spans="1:35" s="172" customFormat="1" ht="56" hidden="1" customHeight="1" x14ac:dyDescent="0.25">
      <c r="A7" s="316"/>
      <c r="B7" s="927" t="s">
        <v>605</v>
      </c>
      <c r="C7" s="293"/>
      <c r="D7" s="294"/>
      <c r="E7" s="268" t="s">
        <v>143</v>
      </c>
      <c r="F7" s="268" t="s">
        <v>144</v>
      </c>
      <c r="G7" s="311" t="s">
        <v>39</v>
      </c>
      <c r="H7" s="262"/>
      <c r="I7" s="344"/>
      <c r="J7" s="241" t="s">
        <v>604</v>
      </c>
      <c r="K7" s="345"/>
      <c r="L7" s="278">
        <v>45839</v>
      </c>
      <c r="M7" s="236">
        <f t="shared" ref="M7" si="0">L7</f>
        <v>45839</v>
      </c>
      <c r="N7" s="237" t="s">
        <v>35</v>
      </c>
      <c r="O7" s="238" t="s">
        <v>600</v>
      </c>
      <c r="P7" s="238" t="s">
        <v>35</v>
      </c>
      <c r="Q7" s="263" t="s">
        <v>54</v>
      </c>
      <c r="R7" s="239"/>
      <c r="S7" s="346">
        <v>671.25</v>
      </c>
      <c r="T7" s="355"/>
      <c r="U7" s="356">
        <v>0</v>
      </c>
      <c r="V7" s="279"/>
      <c r="W7" s="300">
        <f t="shared" ref="W7" si="1">V7</f>
        <v>0</v>
      </c>
      <c r="X7" s="280">
        <f t="shared" ref="X7" si="2">T7+U7</f>
        <v>0</v>
      </c>
      <c r="Y7" s="304">
        <f t="shared" ref="Y7" si="3">S7-X7</f>
        <v>671.25</v>
      </c>
      <c r="Z7" s="308" t="s">
        <v>12</v>
      </c>
      <c r="AA7" s="306" t="s">
        <v>39</v>
      </c>
      <c r="AB7" s="283" t="str">
        <f t="shared" ref="AB7" si="4">IF(Y7&gt;0,"PENDING EXECUTION","COMPLETED")</f>
        <v>PENDING EXECUTION</v>
      </c>
      <c r="AC7" s="240"/>
      <c r="AD7" s="339"/>
      <c r="AE7" s="340">
        <f t="shared" ref="AE7" si="5">IF(AA7=$AD$5,S7,0)</f>
        <v>0</v>
      </c>
      <c r="AF7" s="341"/>
      <c r="AG7" s="342">
        <f t="shared" ref="AG7" si="6">IF(Z7=$AG$5,X7,0)</f>
        <v>0</v>
      </c>
      <c r="AH7" s="343">
        <f t="shared" ref="AH7" si="7">IF(AA7=$AH$5,X7,0)</f>
        <v>0</v>
      </c>
      <c r="AI7" s="341"/>
    </row>
    <row r="8" spans="1:35" s="172" customFormat="1" ht="56" hidden="1" customHeight="1" x14ac:dyDescent="0.25">
      <c r="A8" s="316"/>
      <c r="B8" s="927" t="s">
        <v>612</v>
      </c>
      <c r="C8" s="293"/>
      <c r="D8" s="294"/>
      <c r="E8" s="268" t="s">
        <v>143</v>
      </c>
      <c r="F8" s="268" t="s">
        <v>144</v>
      </c>
      <c r="G8" s="311" t="s">
        <v>39</v>
      </c>
      <c r="H8" s="262"/>
      <c r="I8" s="344"/>
      <c r="J8" s="241" t="s">
        <v>606</v>
      </c>
      <c r="K8" s="345"/>
      <c r="L8" s="278">
        <v>45870</v>
      </c>
      <c r="M8" s="236">
        <f t="shared" ref="M8:M20" si="8">L8</f>
        <v>45870</v>
      </c>
      <c r="N8" s="237" t="s">
        <v>35</v>
      </c>
      <c r="O8" s="238" t="s">
        <v>607</v>
      </c>
      <c r="P8" s="238" t="s">
        <v>35</v>
      </c>
      <c r="Q8" s="263" t="s">
        <v>54</v>
      </c>
      <c r="R8" s="239"/>
      <c r="S8" s="346">
        <v>671.25</v>
      </c>
      <c r="T8" s="355"/>
      <c r="U8" s="356">
        <v>0</v>
      </c>
      <c r="V8" s="279"/>
      <c r="W8" s="300">
        <f t="shared" ref="W8:W50" si="9">V8</f>
        <v>0</v>
      </c>
      <c r="X8" s="280">
        <f t="shared" ref="X8:X72" si="10">T8+U8</f>
        <v>0</v>
      </c>
      <c r="Y8" s="304">
        <f t="shared" ref="Y8:Y72" si="11">S8-X8</f>
        <v>671.25</v>
      </c>
      <c r="Z8" s="308" t="s">
        <v>12</v>
      </c>
      <c r="AA8" s="306" t="str">
        <f t="shared" ref="AA8:AA45" si="12">G8</f>
        <v>RABONA</v>
      </c>
      <c r="AB8" s="283" t="str">
        <f t="shared" ref="AB8:AB72" si="13">IF(Y8&gt;0,"PENDING EXECUTION","COMPLETED")</f>
        <v>PENDING EXECUTION</v>
      </c>
      <c r="AC8" s="240"/>
      <c r="AD8" s="339"/>
      <c r="AE8" s="340">
        <f t="shared" ref="AE8:AE50" si="14">IF(AA8=$AD$5,S8,0)</f>
        <v>0</v>
      </c>
      <c r="AF8" s="341"/>
      <c r="AG8" s="342">
        <f t="shared" ref="AG8:AG50" si="15">IF(Z8=$AG$5,X8,0)</f>
        <v>0</v>
      </c>
      <c r="AH8" s="343">
        <f t="shared" ref="AH8:AH50" si="16">IF(AA8=$AH$5,X8,0)</f>
        <v>0</v>
      </c>
      <c r="AI8" s="341"/>
    </row>
    <row r="9" spans="1:35" s="172" customFormat="1" ht="56" hidden="1" customHeight="1" x14ac:dyDescent="0.25">
      <c r="A9" s="316"/>
      <c r="B9" s="927" t="s">
        <v>619</v>
      </c>
      <c r="C9" s="293"/>
      <c r="D9" s="294"/>
      <c r="E9" s="268" t="s">
        <v>143</v>
      </c>
      <c r="F9" s="268" t="s">
        <v>144</v>
      </c>
      <c r="G9" s="311" t="s">
        <v>39</v>
      </c>
      <c r="H9" s="262"/>
      <c r="I9" s="344"/>
      <c r="J9" s="241" t="s">
        <v>613</v>
      </c>
      <c r="K9" s="345"/>
      <c r="L9" s="278">
        <v>45901</v>
      </c>
      <c r="M9" s="236">
        <f t="shared" ref="M9:M15" si="17">L9</f>
        <v>45901</v>
      </c>
      <c r="N9" s="237" t="s">
        <v>35</v>
      </c>
      <c r="O9" s="238" t="s">
        <v>603</v>
      </c>
      <c r="P9" s="238" t="s">
        <v>35</v>
      </c>
      <c r="Q9" s="263" t="s">
        <v>54</v>
      </c>
      <c r="R9" s="792"/>
      <c r="S9" s="346">
        <v>671.25</v>
      </c>
      <c r="T9" s="355"/>
      <c r="U9" s="356">
        <v>0</v>
      </c>
      <c r="V9" s="279"/>
      <c r="W9" s="300">
        <f t="shared" si="9"/>
        <v>0</v>
      </c>
      <c r="X9" s="280">
        <f t="shared" si="10"/>
        <v>0</v>
      </c>
      <c r="Y9" s="304">
        <f t="shared" si="11"/>
        <v>671.25</v>
      </c>
      <c r="Z9" s="308" t="s">
        <v>12</v>
      </c>
      <c r="AA9" s="306" t="str">
        <f t="shared" si="12"/>
        <v>RABONA</v>
      </c>
      <c r="AB9" s="283" t="str">
        <f t="shared" si="13"/>
        <v>PENDING EXECUTION</v>
      </c>
      <c r="AC9" s="240"/>
      <c r="AD9" s="339"/>
      <c r="AE9" s="340">
        <f t="shared" si="14"/>
        <v>0</v>
      </c>
      <c r="AF9" s="341"/>
      <c r="AG9" s="342">
        <f t="shared" si="15"/>
        <v>0</v>
      </c>
      <c r="AH9" s="343">
        <f t="shared" si="16"/>
        <v>0</v>
      </c>
      <c r="AI9" s="341"/>
    </row>
    <row r="10" spans="1:35" s="172" customFormat="1" ht="56" hidden="1" customHeight="1" x14ac:dyDescent="0.25">
      <c r="A10" s="316"/>
      <c r="B10" s="927" t="s">
        <v>663</v>
      </c>
      <c r="C10" s="293"/>
      <c r="D10" s="294"/>
      <c r="E10" s="268" t="s">
        <v>143</v>
      </c>
      <c r="F10" s="268" t="s">
        <v>144</v>
      </c>
      <c r="G10" s="311" t="s">
        <v>39</v>
      </c>
      <c r="H10" s="262"/>
      <c r="I10" s="344"/>
      <c r="J10" s="241" t="s">
        <v>620</v>
      </c>
      <c r="K10" s="345"/>
      <c r="L10" s="278">
        <v>45931</v>
      </c>
      <c r="M10" s="236">
        <f t="shared" si="17"/>
        <v>45931</v>
      </c>
      <c r="N10" s="237" t="s">
        <v>35</v>
      </c>
      <c r="O10" s="238" t="s">
        <v>611</v>
      </c>
      <c r="P10" s="238" t="s">
        <v>35</v>
      </c>
      <c r="Q10" s="263" t="s">
        <v>54</v>
      </c>
      <c r="R10" s="792"/>
      <c r="S10" s="346">
        <v>671.25</v>
      </c>
      <c r="T10" s="355"/>
      <c r="U10" s="356">
        <v>0</v>
      </c>
      <c r="V10" s="279"/>
      <c r="W10" s="300">
        <f t="shared" si="9"/>
        <v>0</v>
      </c>
      <c r="X10" s="280">
        <f t="shared" si="10"/>
        <v>0</v>
      </c>
      <c r="Y10" s="304">
        <f t="shared" si="11"/>
        <v>671.25</v>
      </c>
      <c r="Z10" s="308" t="s">
        <v>12</v>
      </c>
      <c r="AA10" s="306" t="str">
        <f t="shared" si="12"/>
        <v>RABONA</v>
      </c>
      <c r="AB10" s="283" t="str">
        <f t="shared" si="13"/>
        <v>PENDING EXECUTION</v>
      </c>
      <c r="AC10" s="240"/>
      <c r="AD10" s="339"/>
      <c r="AE10" s="340">
        <f t="shared" si="14"/>
        <v>0</v>
      </c>
      <c r="AF10" s="341"/>
      <c r="AG10" s="342">
        <f t="shared" si="15"/>
        <v>0</v>
      </c>
      <c r="AH10" s="343">
        <f t="shared" si="16"/>
        <v>0</v>
      </c>
      <c r="AI10" s="341"/>
    </row>
    <row r="11" spans="1:35" s="172" customFormat="1" ht="56" hidden="1" customHeight="1" x14ac:dyDescent="0.25">
      <c r="A11" s="316"/>
      <c r="B11" s="931" t="s">
        <v>623</v>
      </c>
      <c r="C11" s="700"/>
      <c r="D11" s="701"/>
      <c r="E11" s="702" t="s">
        <v>143</v>
      </c>
      <c r="F11" s="702" t="s">
        <v>144</v>
      </c>
      <c r="G11" s="703" t="s">
        <v>39</v>
      </c>
      <c r="H11" s="704"/>
      <c r="I11" s="705"/>
      <c r="J11" s="706" t="s">
        <v>625</v>
      </c>
      <c r="K11" s="707"/>
      <c r="L11" s="708">
        <v>45962</v>
      </c>
      <c r="M11" s="709">
        <f t="shared" si="17"/>
        <v>45962</v>
      </c>
      <c r="N11" s="710" t="s">
        <v>103</v>
      </c>
      <c r="O11" s="711" t="s">
        <v>627</v>
      </c>
      <c r="P11" s="711" t="s">
        <v>55</v>
      </c>
      <c r="Q11" s="712" t="s">
        <v>54</v>
      </c>
      <c r="R11" s="713"/>
      <c r="S11" s="714">
        <v>2142.75</v>
      </c>
      <c r="T11" s="715">
        <v>2142.75</v>
      </c>
      <c r="U11" s="716">
        <v>0</v>
      </c>
      <c r="V11" s="717">
        <v>46030</v>
      </c>
      <c r="W11" s="718">
        <f t="shared" si="9"/>
        <v>46030</v>
      </c>
      <c r="X11" s="719">
        <f t="shared" si="10"/>
        <v>2142.75</v>
      </c>
      <c r="Y11" s="720">
        <f t="shared" si="11"/>
        <v>0</v>
      </c>
      <c r="Z11" s="721" t="s">
        <v>12</v>
      </c>
      <c r="AA11" s="722" t="str">
        <f t="shared" si="12"/>
        <v>RABONA</v>
      </c>
      <c r="AB11" s="723" t="str">
        <f t="shared" si="13"/>
        <v>COMPLETED</v>
      </c>
      <c r="AC11" s="724"/>
      <c r="AD11" s="725"/>
      <c r="AE11" s="726">
        <f t="shared" si="14"/>
        <v>0</v>
      </c>
      <c r="AF11" s="727"/>
      <c r="AG11" s="728">
        <f t="shared" si="15"/>
        <v>0</v>
      </c>
      <c r="AH11" s="729">
        <f t="shared" si="16"/>
        <v>0</v>
      </c>
      <c r="AI11" s="727"/>
    </row>
    <row r="12" spans="1:35" s="172" customFormat="1" ht="56" hidden="1" customHeight="1" x14ac:dyDescent="0.25">
      <c r="A12" s="316"/>
      <c r="B12" s="927" t="s">
        <v>624</v>
      </c>
      <c r="C12" s="293"/>
      <c r="D12" s="294"/>
      <c r="E12" s="268" t="s">
        <v>143</v>
      </c>
      <c r="F12" s="268" t="s">
        <v>144</v>
      </c>
      <c r="G12" s="311" t="s">
        <v>39</v>
      </c>
      <c r="H12" s="262"/>
      <c r="I12" s="344"/>
      <c r="J12" s="241" t="s">
        <v>626</v>
      </c>
      <c r="K12" s="345"/>
      <c r="L12" s="278">
        <v>45962</v>
      </c>
      <c r="M12" s="236">
        <f t="shared" si="17"/>
        <v>45962</v>
      </c>
      <c r="N12" s="237" t="s">
        <v>35</v>
      </c>
      <c r="O12" s="238" t="s">
        <v>618</v>
      </c>
      <c r="P12" s="238" t="s">
        <v>35</v>
      </c>
      <c r="Q12" s="263" t="s">
        <v>54</v>
      </c>
      <c r="R12" s="792"/>
      <c r="S12" s="346">
        <v>671.25</v>
      </c>
      <c r="T12" s="355"/>
      <c r="U12" s="356">
        <v>0</v>
      </c>
      <c r="V12" s="279"/>
      <c r="W12" s="300">
        <f t="shared" si="9"/>
        <v>0</v>
      </c>
      <c r="X12" s="280">
        <f t="shared" si="10"/>
        <v>0</v>
      </c>
      <c r="Y12" s="304">
        <f t="shared" si="11"/>
        <v>671.25</v>
      </c>
      <c r="Z12" s="308" t="s">
        <v>12</v>
      </c>
      <c r="AA12" s="306" t="str">
        <f t="shared" si="12"/>
        <v>RABONA</v>
      </c>
      <c r="AB12" s="283" t="str">
        <f t="shared" si="13"/>
        <v>PENDING EXECUTION</v>
      </c>
      <c r="AC12" s="240"/>
      <c r="AD12" s="339"/>
      <c r="AE12" s="340">
        <f t="shared" si="14"/>
        <v>0</v>
      </c>
      <c r="AF12" s="341"/>
      <c r="AG12" s="342">
        <f t="shared" si="15"/>
        <v>0</v>
      </c>
      <c r="AH12" s="343">
        <f t="shared" si="16"/>
        <v>0</v>
      </c>
      <c r="AI12" s="341"/>
    </row>
    <row r="13" spans="1:35" s="172" customFormat="1" ht="56" hidden="1" customHeight="1" x14ac:dyDescent="0.25">
      <c r="A13" s="316"/>
      <c r="B13" s="927" t="s">
        <v>664</v>
      </c>
      <c r="C13" s="293"/>
      <c r="D13" s="294"/>
      <c r="E13" s="268" t="s">
        <v>143</v>
      </c>
      <c r="F13" s="268" t="s">
        <v>144</v>
      </c>
      <c r="G13" s="311" t="s">
        <v>39</v>
      </c>
      <c r="H13" s="262"/>
      <c r="I13" s="344"/>
      <c r="J13" s="241" t="s">
        <v>667</v>
      </c>
      <c r="K13" s="345"/>
      <c r="L13" s="278">
        <v>45992</v>
      </c>
      <c r="M13" s="236">
        <f t="shared" si="17"/>
        <v>45992</v>
      </c>
      <c r="N13" s="237" t="s">
        <v>103</v>
      </c>
      <c r="O13" s="238" t="s">
        <v>670</v>
      </c>
      <c r="P13" s="238" t="s">
        <v>55</v>
      </c>
      <c r="Q13" s="263" t="s">
        <v>54</v>
      </c>
      <c r="R13" s="792"/>
      <c r="S13" s="346">
        <v>2142.75</v>
      </c>
      <c r="T13" s="355"/>
      <c r="U13" s="356">
        <v>0</v>
      </c>
      <c r="V13" s="279"/>
      <c r="W13" s="300">
        <f t="shared" si="9"/>
        <v>0</v>
      </c>
      <c r="X13" s="280">
        <f t="shared" si="10"/>
        <v>0</v>
      </c>
      <c r="Y13" s="304">
        <f t="shared" si="11"/>
        <v>2142.75</v>
      </c>
      <c r="Z13" s="308" t="s">
        <v>12</v>
      </c>
      <c r="AA13" s="306" t="str">
        <f t="shared" si="12"/>
        <v>RABONA</v>
      </c>
      <c r="AB13" s="283" t="str">
        <f t="shared" si="13"/>
        <v>PENDING EXECUTION</v>
      </c>
      <c r="AC13" s="240"/>
      <c r="AD13" s="339"/>
      <c r="AE13" s="340">
        <f t="shared" si="14"/>
        <v>0</v>
      </c>
      <c r="AF13" s="341"/>
      <c r="AG13" s="342">
        <f t="shared" si="15"/>
        <v>0</v>
      </c>
      <c r="AH13" s="343">
        <f t="shared" si="16"/>
        <v>0</v>
      </c>
      <c r="AI13" s="341"/>
    </row>
    <row r="14" spans="1:35" s="172" customFormat="1" ht="56" hidden="1" customHeight="1" x14ac:dyDescent="0.25">
      <c r="A14" s="316"/>
      <c r="B14" s="927" t="s">
        <v>665</v>
      </c>
      <c r="C14" s="293"/>
      <c r="D14" s="294"/>
      <c r="E14" s="268" t="s">
        <v>143</v>
      </c>
      <c r="F14" s="268" t="s">
        <v>144</v>
      </c>
      <c r="G14" s="311" t="s">
        <v>39</v>
      </c>
      <c r="H14" s="262"/>
      <c r="I14" s="344"/>
      <c r="J14" s="241" t="s">
        <v>668</v>
      </c>
      <c r="K14" s="345"/>
      <c r="L14" s="278">
        <v>45992</v>
      </c>
      <c r="M14" s="236">
        <f t="shared" si="17"/>
        <v>45992</v>
      </c>
      <c r="N14" s="237" t="s">
        <v>34</v>
      </c>
      <c r="O14" s="238" t="s">
        <v>671</v>
      </c>
      <c r="P14" s="238" t="s">
        <v>34</v>
      </c>
      <c r="Q14" s="263" t="s">
        <v>54</v>
      </c>
      <c r="R14" s="792"/>
      <c r="S14" s="346">
        <v>71</v>
      </c>
      <c r="T14" s="355"/>
      <c r="U14" s="356">
        <v>0</v>
      </c>
      <c r="V14" s="279"/>
      <c r="W14" s="300">
        <f t="shared" si="9"/>
        <v>0</v>
      </c>
      <c r="X14" s="280">
        <f t="shared" si="10"/>
        <v>0</v>
      </c>
      <c r="Y14" s="304">
        <f t="shared" si="11"/>
        <v>71</v>
      </c>
      <c r="Z14" s="308" t="s">
        <v>12</v>
      </c>
      <c r="AA14" s="306" t="str">
        <f t="shared" si="12"/>
        <v>RABONA</v>
      </c>
      <c r="AB14" s="283" t="str">
        <f t="shared" si="13"/>
        <v>PENDING EXECUTION</v>
      </c>
      <c r="AC14" s="240"/>
      <c r="AD14" s="339"/>
      <c r="AE14" s="340">
        <f t="shared" si="14"/>
        <v>0</v>
      </c>
      <c r="AF14" s="341"/>
      <c r="AG14" s="342">
        <f t="shared" si="15"/>
        <v>0</v>
      </c>
      <c r="AH14" s="343">
        <f t="shared" si="16"/>
        <v>0</v>
      </c>
      <c r="AI14" s="341"/>
    </row>
    <row r="15" spans="1:35" s="172" customFormat="1" ht="56" hidden="1" customHeight="1" x14ac:dyDescent="0.25">
      <c r="A15" s="316"/>
      <c r="B15" s="927" t="s">
        <v>666</v>
      </c>
      <c r="C15" s="293"/>
      <c r="D15" s="294"/>
      <c r="E15" s="268" t="s">
        <v>143</v>
      </c>
      <c r="F15" s="268" t="s">
        <v>144</v>
      </c>
      <c r="G15" s="311" t="s">
        <v>39</v>
      </c>
      <c r="H15" s="262"/>
      <c r="I15" s="344"/>
      <c r="J15" s="241" t="s">
        <v>669</v>
      </c>
      <c r="K15" s="345"/>
      <c r="L15" s="278">
        <v>45992</v>
      </c>
      <c r="M15" s="236">
        <f t="shared" si="17"/>
        <v>45992</v>
      </c>
      <c r="N15" s="237" t="s">
        <v>35</v>
      </c>
      <c r="O15" s="238" t="s">
        <v>671</v>
      </c>
      <c r="P15" s="238" t="s">
        <v>35</v>
      </c>
      <c r="Q15" s="263" t="s">
        <v>54</v>
      </c>
      <c r="R15" s="792"/>
      <c r="S15" s="346">
        <v>671.25</v>
      </c>
      <c r="T15" s="355"/>
      <c r="U15" s="356">
        <v>0</v>
      </c>
      <c r="V15" s="279"/>
      <c r="W15" s="300">
        <f t="shared" si="9"/>
        <v>0</v>
      </c>
      <c r="X15" s="280">
        <f t="shared" si="10"/>
        <v>0</v>
      </c>
      <c r="Y15" s="304">
        <f t="shared" si="11"/>
        <v>671.25</v>
      </c>
      <c r="Z15" s="308" t="s">
        <v>12</v>
      </c>
      <c r="AA15" s="306" t="str">
        <f t="shared" si="12"/>
        <v>RABONA</v>
      </c>
      <c r="AB15" s="283" t="str">
        <f t="shared" si="13"/>
        <v>PENDING EXECUTION</v>
      </c>
      <c r="AC15" s="240"/>
      <c r="AD15" s="339"/>
      <c r="AE15" s="340">
        <f t="shared" si="14"/>
        <v>0</v>
      </c>
      <c r="AF15" s="341"/>
      <c r="AG15" s="342">
        <f t="shared" si="15"/>
        <v>0</v>
      </c>
      <c r="AH15" s="343">
        <f t="shared" si="16"/>
        <v>0</v>
      </c>
      <c r="AI15" s="341"/>
    </row>
    <row r="16" spans="1:35" s="172" customFormat="1" ht="56" hidden="1" customHeight="1" x14ac:dyDescent="0.25">
      <c r="A16" s="316"/>
      <c r="B16" s="931"/>
      <c r="C16" s="700" t="str">
        <f>IF(A7=0,$C$4,"-")</f>
        <v>26/1/</v>
      </c>
      <c r="D16" s="701" t="s">
        <v>160</v>
      </c>
      <c r="E16" s="702" t="s">
        <v>143</v>
      </c>
      <c r="F16" s="702" t="s">
        <v>144</v>
      </c>
      <c r="G16" s="703" t="s">
        <v>39</v>
      </c>
      <c r="H16" s="704"/>
      <c r="I16" s="705"/>
      <c r="J16" s="706" t="s">
        <v>672</v>
      </c>
      <c r="K16" s="707"/>
      <c r="L16" s="708">
        <v>46023</v>
      </c>
      <c r="M16" s="709">
        <f t="shared" si="8"/>
        <v>46023</v>
      </c>
      <c r="N16" s="710" t="s">
        <v>103</v>
      </c>
      <c r="O16" s="711" t="s">
        <v>675</v>
      </c>
      <c r="P16" s="711" t="s">
        <v>55</v>
      </c>
      <c r="Q16" s="712" t="s">
        <v>54</v>
      </c>
      <c r="R16" s="713"/>
      <c r="S16" s="714">
        <v>2142.75</v>
      </c>
      <c r="T16" s="715"/>
      <c r="U16" s="716">
        <v>0</v>
      </c>
      <c r="V16" s="717"/>
      <c r="W16" s="718">
        <f t="shared" si="9"/>
        <v>0</v>
      </c>
      <c r="X16" s="719">
        <f t="shared" si="10"/>
        <v>0</v>
      </c>
      <c r="Y16" s="720">
        <f t="shared" si="11"/>
        <v>2142.75</v>
      </c>
      <c r="Z16" s="721" t="s">
        <v>12</v>
      </c>
      <c r="AA16" s="722" t="str">
        <f t="shared" si="12"/>
        <v>RABONA</v>
      </c>
      <c r="AB16" s="723" t="str">
        <f t="shared" si="13"/>
        <v>PENDING EXECUTION</v>
      </c>
      <c r="AC16" s="724"/>
      <c r="AD16" s="725"/>
      <c r="AE16" s="726">
        <f t="shared" si="14"/>
        <v>0</v>
      </c>
      <c r="AF16" s="727"/>
      <c r="AG16" s="728">
        <f t="shared" si="15"/>
        <v>0</v>
      </c>
      <c r="AH16" s="729">
        <f t="shared" si="16"/>
        <v>0</v>
      </c>
      <c r="AI16" s="727"/>
    </row>
    <row r="17" spans="1:35" s="172" customFormat="1" ht="56" hidden="1" customHeight="1" x14ac:dyDescent="0.25">
      <c r="A17" s="316"/>
      <c r="B17" s="931"/>
      <c r="C17" s="700" t="str">
        <f>IF(A8=0,$C$4,"-")</f>
        <v>26/1/</v>
      </c>
      <c r="D17" s="701" t="s">
        <v>161</v>
      </c>
      <c r="E17" s="702" t="s">
        <v>143</v>
      </c>
      <c r="F17" s="702" t="s">
        <v>144</v>
      </c>
      <c r="G17" s="703" t="s">
        <v>39</v>
      </c>
      <c r="H17" s="704"/>
      <c r="I17" s="705"/>
      <c r="J17" s="706" t="s">
        <v>673</v>
      </c>
      <c r="K17" s="707"/>
      <c r="L17" s="708">
        <v>46023</v>
      </c>
      <c r="M17" s="709">
        <f t="shared" si="8"/>
        <v>46023</v>
      </c>
      <c r="N17" s="710" t="s">
        <v>34</v>
      </c>
      <c r="O17" s="711" t="s">
        <v>676</v>
      </c>
      <c r="P17" s="711" t="s">
        <v>34</v>
      </c>
      <c r="Q17" s="712" t="s">
        <v>54</v>
      </c>
      <c r="R17" s="713"/>
      <c r="S17" s="714">
        <v>71</v>
      </c>
      <c r="T17" s="715"/>
      <c r="U17" s="716">
        <v>0</v>
      </c>
      <c r="V17" s="717"/>
      <c r="W17" s="718">
        <f t="shared" si="9"/>
        <v>0</v>
      </c>
      <c r="X17" s="719">
        <f t="shared" si="10"/>
        <v>0</v>
      </c>
      <c r="Y17" s="720">
        <f t="shared" si="11"/>
        <v>71</v>
      </c>
      <c r="Z17" s="721" t="s">
        <v>12</v>
      </c>
      <c r="AA17" s="722" t="str">
        <f t="shared" si="12"/>
        <v>RABONA</v>
      </c>
      <c r="AB17" s="723" t="str">
        <f t="shared" si="13"/>
        <v>PENDING EXECUTION</v>
      </c>
      <c r="AC17" s="724"/>
      <c r="AD17" s="725"/>
      <c r="AE17" s="726">
        <f t="shared" si="14"/>
        <v>0</v>
      </c>
      <c r="AF17" s="727"/>
      <c r="AG17" s="728">
        <f t="shared" si="15"/>
        <v>0</v>
      </c>
      <c r="AH17" s="729">
        <f t="shared" si="16"/>
        <v>0</v>
      </c>
      <c r="AI17" s="727"/>
    </row>
    <row r="18" spans="1:35" s="172" customFormat="1" ht="56" hidden="1" customHeight="1" x14ac:dyDescent="0.25">
      <c r="A18" s="316"/>
      <c r="B18" s="931"/>
      <c r="C18" s="700" t="str">
        <f>IF(A9=0,$C$4,"-")</f>
        <v>26/1/</v>
      </c>
      <c r="D18" s="701" t="s">
        <v>162</v>
      </c>
      <c r="E18" s="702" t="s">
        <v>143</v>
      </c>
      <c r="F18" s="702" t="s">
        <v>144</v>
      </c>
      <c r="G18" s="703" t="s">
        <v>39</v>
      </c>
      <c r="H18" s="704"/>
      <c r="I18" s="705"/>
      <c r="J18" s="706" t="s">
        <v>674</v>
      </c>
      <c r="K18" s="707"/>
      <c r="L18" s="708">
        <v>46023</v>
      </c>
      <c r="M18" s="709">
        <f t="shared" si="8"/>
        <v>46023</v>
      </c>
      <c r="N18" s="710" t="s">
        <v>35</v>
      </c>
      <c r="O18" s="711" t="s">
        <v>676</v>
      </c>
      <c r="P18" s="711" t="s">
        <v>35</v>
      </c>
      <c r="Q18" s="712" t="s">
        <v>54</v>
      </c>
      <c r="R18" s="713"/>
      <c r="S18" s="714">
        <v>671.25</v>
      </c>
      <c r="T18" s="715"/>
      <c r="U18" s="716">
        <v>0</v>
      </c>
      <c r="V18" s="717"/>
      <c r="W18" s="718">
        <f t="shared" si="9"/>
        <v>0</v>
      </c>
      <c r="X18" s="719">
        <f t="shared" si="10"/>
        <v>0</v>
      </c>
      <c r="Y18" s="720">
        <f t="shared" si="11"/>
        <v>671.25</v>
      </c>
      <c r="Z18" s="721" t="s">
        <v>12</v>
      </c>
      <c r="AA18" s="722" t="str">
        <f t="shared" si="12"/>
        <v>RABONA</v>
      </c>
      <c r="AB18" s="723" t="str">
        <f t="shared" si="13"/>
        <v>PENDING EXECUTION</v>
      </c>
      <c r="AC18" s="724"/>
      <c r="AD18" s="725"/>
      <c r="AE18" s="726">
        <f t="shared" si="14"/>
        <v>0</v>
      </c>
      <c r="AF18" s="727"/>
      <c r="AG18" s="728">
        <f t="shared" si="15"/>
        <v>0</v>
      </c>
      <c r="AH18" s="729">
        <f t="shared" si="16"/>
        <v>0</v>
      </c>
      <c r="AI18" s="727"/>
    </row>
    <row r="19" spans="1:35" s="172" customFormat="1" ht="56" hidden="1" customHeight="1" x14ac:dyDescent="0.25">
      <c r="A19" s="316"/>
      <c r="B19" s="932"/>
      <c r="C19" s="730" t="str">
        <f>IF(A8=0,$C$4,"-")</f>
        <v>26/1/</v>
      </c>
      <c r="D19" s="731" t="s">
        <v>163</v>
      </c>
      <c r="E19" s="760" t="s">
        <v>143</v>
      </c>
      <c r="F19" s="760" t="s">
        <v>145</v>
      </c>
      <c r="G19" s="761" t="s">
        <v>39</v>
      </c>
      <c r="H19" s="734"/>
      <c r="I19" s="735"/>
      <c r="J19" s="736"/>
      <c r="K19" s="737" t="s">
        <v>141</v>
      </c>
      <c r="L19" s="738">
        <v>46020</v>
      </c>
      <c r="M19" s="739">
        <f t="shared" si="8"/>
        <v>46020</v>
      </c>
      <c r="N19" s="740" t="s">
        <v>677</v>
      </c>
      <c r="O19" s="741" t="s">
        <v>678</v>
      </c>
      <c r="P19" s="741" t="s">
        <v>790</v>
      </c>
      <c r="Q19" s="742" t="s">
        <v>48</v>
      </c>
      <c r="R19" s="743"/>
      <c r="S19" s="744">
        <v>6000</v>
      </c>
      <c r="T19" s="745"/>
      <c r="U19" s="746">
        <f>S19</f>
        <v>6000</v>
      </c>
      <c r="V19" s="747">
        <v>46029</v>
      </c>
      <c r="W19" s="748">
        <f t="shared" si="9"/>
        <v>46029</v>
      </c>
      <c r="X19" s="749">
        <f t="shared" si="10"/>
        <v>6000</v>
      </c>
      <c r="Y19" s="750">
        <f t="shared" si="11"/>
        <v>0</v>
      </c>
      <c r="Z19" s="751" t="s">
        <v>12</v>
      </c>
      <c r="AA19" s="752" t="str">
        <f t="shared" si="12"/>
        <v>RABONA</v>
      </c>
      <c r="AB19" s="753" t="str">
        <f t="shared" si="13"/>
        <v>COMPLETED</v>
      </c>
      <c r="AC19" s="754" t="s">
        <v>139</v>
      </c>
      <c r="AD19" s="755"/>
      <c r="AE19" s="756">
        <f t="shared" si="14"/>
        <v>0</v>
      </c>
      <c r="AF19" s="757"/>
      <c r="AG19" s="758">
        <f t="shared" si="15"/>
        <v>0</v>
      </c>
      <c r="AH19" s="759">
        <f t="shared" si="16"/>
        <v>0</v>
      </c>
      <c r="AI19" s="757"/>
    </row>
    <row r="20" spans="1:35" s="172" customFormat="1" ht="56" hidden="1" customHeight="1" x14ac:dyDescent="0.25">
      <c r="A20" s="316"/>
      <c r="B20" s="932"/>
      <c r="C20" s="730" t="str">
        <f t="shared" ref="C20:C73" si="18">IF(A19=0,$C$4,"-")</f>
        <v>26/1/</v>
      </c>
      <c r="D20" s="731" t="s">
        <v>164</v>
      </c>
      <c r="E20" s="760" t="s">
        <v>143</v>
      </c>
      <c r="F20" s="760" t="s">
        <v>145</v>
      </c>
      <c r="G20" s="761" t="s">
        <v>39</v>
      </c>
      <c r="H20" s="734"/>
      <c r="I20" s="735"/>
      <c r="J20" s="736"/>
      <c r="K20" s="737" t="s">
        <v>434</v>
      </c>
      <c r="L20" s="738">
        <v>46020</v>
      </c>
      <c r="M20" s="739">
        <f t="shared" si="8"/>
        <v>46020</v>
      </c>
      <c r="N20" s="740" t="s">
        <v>679</v>
      </c>
      <c r="O20" s="741" t="s">
        <v>680</v>
      </c>
      <c r="P20" s="741" t="s">
        <v>790</v>
      </c>
      <c r="Q20" s="742" t="s">
        <v>48</v>
      </c>
      <c r="R20" s="743"/>
      <c r="S20" s="744">
        <v>3500</v>
      </c>
      <c r="T20" s="745"/>
      <c r="U20" s="746">
        <f>S20</f>
        <v>3500</v>
      </c>
      <c r="V20" s="747">
        <v>46041</v>
      </c>
      <c r="W20" s="748">
        <f t="shared" si="9"/>
        <v>46041</v>
      </c>
      <c r="X20" s="749">
        <f t="shared" si="10"/>
        <v>3500</v>
      </c>
      <c r="Y20" s="750">
        <f t="shared" si="11"/>
        <v>0</v>
      </c>
      <c r="Z20" s="751" t="s">
        <v>12</v>
      </c>
      <c r="AA20" s="752" t="str">
        <f t="shared" si="12"/>
        <v>RABONA</v>
      </c>
      <c r="AB20" s="753" t="str">
        <f t="shared" si="13"/>
        <v>COMPLETED</v>
      </c>
      <c r="AC20" s="754" t="s">
        <v>139</v>
      </c>
      <c r="AD20" s="755"/>
      <c r="AE20" s="756">
        <f t="shared" si="14"/>
        <v>0</v>
      </c>
      <c r="AF20" s="757"/>
      <c r="AG20" s="758">
        <f t="shared" si="15"/>
        <v>0</v>
      </c>
      <c r="AH20" s="759">
        <f t="shared" si="16"/>
        <v>0</v>
      </c>
      <c r="AI20" s="757"/>
    </row>
    <row r="21" spans="1:35" s="172" customFormat="1" ht="56" hidden="1" customHeight="1" x14ac:dyDescent="0.25">
      <c r="A21" s="316"/>
      <c r="B21" s="932"/>
      <c r="C21" s="730" t="str">
        <f t="shared" si="18"/>
        <v>26/1/</v>
      </c>
      <c r="D21" s="731" t="s">
        <v>165</v>
      </c>
      <c r="E21" s="732" t="s">
        <v>143</v>
      </c>
      <c r="F21" s="732" t="s">
        <v>145</v>
      </c>
      <c r="G21" s="733" t="s">
        <v>39</v>
      </c>
      <c r="H21" s="762"/>
      <c r="I21" s="763"/>
      <c r="J21" s="763"/>
      <c r="K21" s="737" t="s">
        <v>435</v>
      </c>
      <c r="L21" s="738">
        <v>46029</v>
      </c>
      <c r="M21" s="739">
        <f t="shared" ref="M21" si="19">L21</f>
        <v>46029</v>
      </c>
      <c r="N21" s="793" t="s">
        <v>23</v>
      </c>
      <c r="O21" s="741" t="s">
        <v>423</v>
      </c>
      <c r="P21" s="741" t="s">
        <v>354</v>
      </c>
      <c r="Q21" s="742" t="s">
        <v>50</v>
      </c>
      <c r="R21" s="743"/>
      <c r="S21" s="744">
        <v>8100</v>
      </c>
      <c r="T21" s="745"/>
      <c r="U21" s="746">
        <f>S21</f>
        <v>8100</v>
      </c>
      <c r="V21" s="747">
        <v>46029</v>
      </c>
      <c r="W21" s="748">
        <f t="shared" ref="W21" si="20">V21</f>
        <v>46029</v>
      </c>
      <c r="X21" s="749">
        <f t="shared" ref="X21" si="21">T21+U21</f>
        <v>8100</v>
      </c>
      <c r="Y21" s="750">
        <f t="shared" ref="Y21" si="22">S21-X21</f>
        <v>0</v>
      </c>
      <c r="Z21" s="751" t="s">
        <v>14</v>
      </c>
      <c r="AA21" s="752" t="str">
        <f t="shared" ref="AA21" si="23">G21</f>
        <v>RABONA</v>
      </c>
      <c r="AB21" s="753" t="str">
        <f t="shared" ref="AB21" si="24">IF(Y21&gt;0,"PENDING EXECUTION","COMPLETED")</f>
        <v>COMPLETED</v>
      </c>
      <c r="AC21" s="754" t="s">
        <v>139</v>
      </c>
      <c r="AD21" s="755"/>
      <c r="AE21" s="756">
        <f t="shared" ref="AE21" si="25">IF(AA21=$AD$5,S21,0)</f>
        <v>0</v>
      </c>
      <c r="AF21" s="757"/>
      <c r="AG21" s="758">
        <f t="shared" ref="AG21" si="26">IF(Z21=$AG$5,X21,0)</f>
        <v>8100</v>
      </c>
      <c r="AH21" s="759">
        <f t="shared" ref="AH21" si="27">IF(AA21=$AH$5,X21,0)</f>
        <v>0</v>
      </c>
      <c r="AI21" s="757" t="s">
        <v>104</v>
      </c>
    </row>
    <row r="22" spans="1:35" s="172" customFormat="1" ht="59" hidden="1" customHeight="1" x14ac:dyDescent="0.25">
      <c r="A22" s="316"/>
      <c r="B22" s="932"/>
      <c r="C22" s="730" t="str">
        <f t="shared" si="18"/>
        <v>26/1/</v>
      </c>
      <c r="D22" s="731" t="s">
        <v>166</v>
      </c>
      <c r="E22" s="732" t="s">
        <v>143</v>
      </c>
      <c r="F22" s="732" t="s">
        <v>145</v>
      </c>
      <c r="G22" s="733" t="s">
        <v>39</v>
      </c>
      <c r="H22" s="734"/>
      <c r="I22" s="735"/>
      <c r="J22" s="736"/>
      <c r="K22" s="737" t="s">
        <v>363</v>
      </c>
      <c r="L22" s="738">
        <v>46048</v>
      </c>
      <c r="M22" s="739">
        <f>L22</f>
        <v>46048</v>
      </c>
      <c r="N22" s="740" t="s">
        <v>681</v>
      </c>
      <c r="O22" s="741" t="s">
        <v>684</v>
      </c>
      <c r="P22" s="741" t="s">
        <v>791</v>
      </c>
      <c r="Q22" s="742" t="s">
        <v>48</v>
      </c>
      <c r="R22" s="743"/>
      <c r="S22" s="744">
        <v>1200</v>
      </c>
      <c r="T22" s="745"/>
      <c r="U22" s="746">
        <f t="shared" ref="U22:U25" si="28">S22</f>
        <v>1200</v>
      </c>
      <c r="V22" s="747">
        <v>46052</v>
      </c>
      <c r="W22" s="748">
        <f t="shared" si="9"/>
        <v>46052</v>
      </c>
      <c r="X22" s="749">
        <f t="shared" si="10"/>
        <v>1200</v>
      </c>
      <c r="Y22" s="750">
        <f t="shared" si="11"/>
        <v>0</v>
      </c>
      <c r="Z22" s="751" t="s">
        <v>12</v>
      </c>
      <c r="AA22" s="752" t="str">
        <f t="shared" si="12"/>
        <v>RABONA</v>
      </c>
      <c r="AB22" s="753" t="str">
        <f t="shared" si="13"/>
        <v>COMPLETED</v>
      </c>
      <c r="AC22" s="754" t="s">
        <v>139</v>
      </c>
      <c r="AD22" s="755"/>
      <c r="AE22" s="756">
        <f t="shared" si="14"/>
        <v>0</v>
      </c>
      <c r="AF22" s="757"/>
      <c r="AG22" s="758">
        <f t="shared" si="15"/>
        <v>0</v>
      </c>
      <c r="AH22" s="759">
        <f t="shared" si="16"/>
        <v>0</v>
      </c>
      <c r="AI22" s="757"/>
    </row>
    <row r="23" spans="1:35" s="172" customFormat="1" ht="56" hidden="1" customHeight="1" x14ac:dyDescent="0.25">
      <c r="A23" s="316"/>
      <c r="B23" s="932"/>
      <c r="C23" s="730" t="str">
        <f t="shared" ref="C23:C24" si="29">IF(A22=0,$C$4,"-")</f>
        <v>26/1/</v>
      </c>
      <c r="D23" s="731" t="s">
        <v>167</v>
      </c>
      <c r="E23" s="732" t="s">
        <v>143</v>
      </c>
      <c r="F23" s="732" t="s">
        <v>145</v>
      </c>
      <c r="G23" s="733" t="s">
        <v>39</v>
      </c>
      <c r="H23" s="734"/>
      <c r="I23" s="735"/>
      <c r="J23" s="736"/>
      <c r="K23" s="737" t="s">
        <v>420</v>
      </c>
      <c r="L23" s="738">
        <v>46048</v>
      </c>
      <c r="M23" s="739">
        <f t="shared" ref="M23:M58" si="30">L23</f>
        <v>46048</v>
      </c>
      <c r="N23" s="740" t="s">
        <v>682</v>
      </c>
      <c r="O23" s="741" t="s">
        <v>683</v>
      </c>
      <c r="P23" s="741" t="s">
        <v>790</v>
      </c>
      <c r="Q23" s="742" t="s">
        <v>48</v>
      </c>
      <c r="R23" s="743"/>
      <c r="S23" s="744">
        <v>5000</v>
      </c>
      <c r="T23" s="745"/>
      <c r="U23" s="746">
        <f t="shared" si="28"/>
        <v>5000</v>
      </c>
      <c r="V23" s="747">
        <v>46052</v>
      </c>
      <c r="W23" s="748">
        <f t="shared" si="9"/>
        <v>46052</v>
      </c>
      <c r="X23" s="749">
        <f t="shared" ref="X23" si="31">T23+U23</f>
        <v>5000</v>
      </c>
      <c r="Y23" s="750">
        <f t="shared" ref="Y23" si="32">S23-X23</f>
        <v>0</v>
      </c>
      <c r="Z23" s="751" t="s">
        <v>12</v>
      </c>
      <c r="AA23" s="752" t="str">
        <f t="shared" si="12"/>
        <v>RABONA</v>
      </c>
      <c r="AB23" s="753" t="str">
        <f t="shared" ref="AB23" si="33">IF(Y23&gt;0,"PENDING EXECUTION","COMPLETED")</f>
        <v>COMPLETED</v>
      </c>
      <c r="AC23" s="754" t="s">
        <v>139</v>
      </c>
      <c r="AD23" s="755"/>
      <c r="AE23" s="756">
        <f t="shared" si="14"/>
        <v>0</v>
      </c>
      <c r="AF23" s="757"/>
      <c r="AG23" s="758">
        <f t="shared" si="15"/>
        <v>0</v>
      </c>
      <c r="AH23" s="759">
        <f t="shared" si="16"/>
        <v>0</v>
      </c>
      <c r="AI23" s="757"/>
    </row>
    <row r="24" spans="1:35" s="172" customFormat="1" ht="61" hidden="1" customHeight="1" x14ac:dyDescent="0.25">
      <c r="A24" s="316"/>
      <c r="B24" s="932"/>
      <c r="C24" s="730" t="str">
        <f t="shared" si="29"/>
        <v>26/1/</v>
      </c>
      <c r="D24" s="731" t="s">
        <v>168</v>
      </c>
      <c r="E24" s="732" t="s">
        <v>143</v>
      </c>
      <c r="F24" s="732" t="s">
        <v>145</v>
      </c>
      <c r="G24" s="733" t="s">
        <v>39</v>
      </c>
      <c r="H24" s="734"/>
      <c r="I24" s="735"/>
      <c r="J24" s="736"/>
      <c r="K24" s="737" t="s">
        <v>421</v>
      </c>
      <c r="L24" s="738">
        <v>46048</v>
      </c>
      <c r="M24" s="739">
        <f t="shared" si="30"/>
        <v>46048</v>
      </c>
      <c r="N24" s="740" t="s">
        <v>685</v>
      </c>
      <c r="O24" s="741" t="s">
        <v>690</v>
      </c>
      <c r="P24" s="741" t="s">
        <v>790</v>
      </c>
      <c r="Q24" s="742" t="s">
        <v>48</v>
      </c>
      <c r="R24" s="743"/>
      <c r="S24" s="744">
        <v>11900</v>
      </c>
      <c r="T24" s="745"/>
      <c r="U24" s="746">
        <f t="shared" si="28"/>
        <v>11900</v>
      </c>
      <c r="V24" s="747">
        <v>46052</v>
      </c>
      <c r="W24" s="748">
        <f t="shared" si="9"/>
        <v>46052</v>
      </c>
      <c r="X24" s="749">
        <f t="shared" si="10"/>
        <v>11900</v>
      </c>
      <c r="Y24" s="750">
        <f t="shared" si="11"/>
        <v>0</v>
      </c>
      <c r="Z24" s="751" t="s">
        <v>12</v>
      </c>
      <c r="AA24" s="752" t="str">
        <f t="shared" si="12"/>
        <v>RABONA</v>
      </c>
      <c r="AB24" s="753" t="str">
        <f t="shared" si="13"/>
        <v>COMPLETED</v>
      </c>
      <c r="AC24" s="754" t="s">
        <v>139</v>
      </c>
      <c r="AD24" s="755"/>
      <c r="AE24" s="756">
        <f t="shared" si="14"/>
        <v>0</v>
      </c>
      <c r="AF24" s="757"/>
      <c r="AG24" s="758">
        <f t="shared" si="15"/>
        <v>0</v>
      </c>
      <c r="AH24" s="759">
        <f t="shared" si="16"/>
        <v>0</v>
      </c>
      <c r="AI24" s="757"/>
    </row>
    <row r="25" spans="1:35" s="172" customFormat="1" ht="56" hidden="1" customHeight="1" x14ac:dyDescent="0.25">
      <c r="A25" s="316"/>
      <c r="B25" s="932"/>
      <c r="C25" s="730" t="str">
        <f t="shared" si="18"/>
        <v>26/1/</v>
      </c>
      <c r="D25" s="731" t="s">
        <v>169</v>
      </c>
      <c r="E25" s="732" t="s">
        <v>143</v>
      </c>
      <c r="F25" s="732" t="s">
        <v>145</v>
      </c>
      <c r="G25" s="733" t="s">
        <v>39</v>
      </c>
      <c r="H25" s="734"/>
      <c r="I25" s="735"/>
      <c r="J25" s="736"/>
      <c r="K25" s="737" t="s">
        <v>424</v>
      </c>
      <c r="L25" s="738">
        <v>46048</v>
      </c>
      <c r="M25" s="739">
        <f t="shared" si="30"/>
        <v>46048</v>
      </c>
      <c r="N25" s="740" t="s">
        <v>686</v>
      </c>
      <c r="O25" s="741" t="s">
        <v>687</v>
      </c>
      <c r="P25" s="741" t="s">
        <v>791</v>
      </c>
      <c r="Q25" s="742" t="s">
        <v>48</v>
      </c>
      <c r="R25" s="743"/>
      <c r="S25" s="744">
        <v>729</v>
      </c>
      <c r="T25" s="745"/>
      <c r="U25" s="746">
        <f t="shared" si="28"/>
        <v>729</v>
      </c>
      <c r="V25" s="747">
        <v>46052</v>
      </c>
      <c r="W25" s="748">
        <f t="shared" si="9"/>
        <v>46052</v>
      </c>
      <c r="X25" s="749">
        <f t="shared" si="10"/>
        <v>729</v>
      </c>
      <c r="Y25" s="750">
        <f t="shared" si="11"/>
        <v>0</v>
      </c>
      <c r="Z25" s="751" t="s">
        <v>12</v>
      </c>
      <c r="AA25" s="752" t="str">
        <f t="shared" si="12"/>
        <v>RABONA</v>
      </c>
      <c r="AB25" s="753" t="str">
        <f t="shared" si="13"/>
        <v>COMPLETED</v>
      </c>
      <c r="AC25" s="754" t="s">
        <v>139</v>
      </c>
      <c r="AD25" s="755"/>
      <c r="AE25" s="756">
        <f t="shared" si="14"/>
        <v>0</v>
      </c>
      <c r="AF25" s="757"/>
      <c r="AG25" s="758">
        <f t="shared" si="15"/>
        <v>0</v>
      </c>
      <c r="AH25" s="759">
        <f t="shared" si="16"/>
        <v>0</v>
      </c>
      <c r="AI25" s="757"/>
    </row>
    <row r="26" spans="1:35" s="172" customFormat="1" ht="56" hidden="1" customHeight="1" x14ac:dyDescent="0.25">
      <c r="A26" s="316"/>
      <c r="B26" s="932"/>
      <c r="C26" s="730" t="str">
        <f>IF(A25=0,$C$4,"-")</f>
        <v>26/1/</v>
      </c>
      <c r="D26" s="731" t="s">
        <v>170</v>
      </c>
      <c r="E26" s="732" t="s">
        <v>143</v>
      </c>
      <c r="F26" s="732" t="s">
        <v>145</v>
      </c>
      <c r="G26" s="733" t="s">
        <v>39</v>
      </c>
      <c r="H26" s="734"/>
      <c r="I26" s="735"/>
      <c r="J26" s="736"/>
      <c r="K26" s="737" t="s">
        <v>425</v>
      </c>
      <c r="L26" s="738">
        <v>46048</v>
      </c>
      <c r="M26" s="739">
        <f>L26</f>
        <v>46048</v>
      </c>
      <c r="N26" s="740" t="s">
        <v>688</v>
      </c>
      <c r="O26" s="741" t="s">
        <v>689</v>
      </c>
      <c r="P26" s="741" t="s">
        <v>790</v>
      </c>
      <c r="Q26" s="742" t="s">
        <v>48</v>
      </c>
      <c r="R26" s="743"/>
      <c r="S26" s="744">
        <v>3500</v>
      </c>
      <c r="T26" s="745"/>
      <c r="U26" s="746">
        <f t="shared" ref="U26" si="34">S26</f>
        <v>3500</v>
      </c>
      <c r="V26" s="747">
        <v>46052</v>
      </c>
      <c r="W26" s="748">
        <f t="shared" si="9"/>
        <v>46052</v>
      </c>
      <c r="X26" s="749">
        <f t="shared" si="10"/>
        <v>3500</v>
      </c>
      <c r="Y26" s="750">
        <f t="shared" si="11"/>
        <v>0</v>
      </c>
      <c r="Z26" s="751" t="s">
        <v>12</v>
      </c>
      <c r="AA26" s="752" t="str">
        <f t="shared" si="12"/>
        <v>RABONA</v>
      </c>
      <c r="AB26" s="753" t="str">
        <f t="shared" si="13"/>
        <v>COMPLETED</v>
      </c>
      <c r="AC26" s="754" t="s">
        <v>139</v>
      </c>
      <c r="AD26" s="755"/>
      <c r="AE26" s="756">
        <f t="shared" si="14"/>
        <v>0</v>
      </c>
      <c r="AF26" s="757"/>
      <c r="AG26" s="758">
        <f t="shared" si="15"/>
        <v>0</v>
      </c>
      <c r="AH26" s="759">
        <f t="shared" si="16"/>
        <v>0</v>
      </c>
      <c r="AI26" s="757"/>
    </row>
    <row r="27" spans="1:35" s="172" customFormat="1" ht="56" hidden="1" customHeight="1" x14ac:dyDescent="0.25">
      <c r="A27" s="316"/>
      <c r="B27" s="933"/>
      <c r="C27" s="592" t="str">
        <f t="shared" si="18"/>
        <v>26/1/</v>
      </c>
      <c r="D27" s="593" t="s">
        <v>171</v>
      </c>
      <c r="E27" s="594" t="s">
        <v>446</v>
      </c>
      <c r="F27" s="594" t="s">
        <v>145</v>
      </c>
      <c r="G27" s="698" t="s">
        <v>39</v>
      </c>
      <c r="H27" s="595"/>
      <c r="I27" s="596"/>
      <c r="J27" s="619"/>
      <c r="K27" s="597" t="s">
        <v>426</v>
      </c>
      <c r="L27" s="598">
        <v>46052</v>
      </c>
      <c r="M27" s="599">
        <f t="shared" ref="M27:M28" si="35">L27</f>
        <v>46052</v>
      </c>
      <c r="N27" s="764" t="s">
        <v>39</v>
      </c>
      <c r="O27" s="613" t="s">
        <v>536</v>
      </c>
      <c r="P27" s="613" t="s">
        <v>530</v>
      </c>
      <c r="Q27" s="614" t="s">
        <v>530</v>
      </c>
      <c r="R27" s="620"/>
      <c r="S27" s="621">
        <v>1500</v>
      </c>
      <c r="T27" s="622"/>
      <c r="U27" s="623">
        <v>0</v>
      </c>
      <c r="V27" s="600">
        <v>46052</v>
      </c>
      <c r="W27" s="601">
        <f t="shared" si="9"/>
        <v>46052</v>
      </c>
      <c r="X27" s="602">
        <f t="shared" si="10"/>
        <v>0</v>
      </c>
      <c r="Y27" s="603">
        <f t="shared" si="11"/>
        <v>1500</v>
      </c>
      <c r="Z27" s="604" t="s">
        <v>12</v>
      </c>
      <c r="AA27" s="605" t="str">
        <f t="shared" si="12"/>
        <v>RABONA</v>
      </c>
      <c r="AB27" s="606" t="str">
        <f t="shared" si="13"/>
        <v>PENDING EXECUTION</v>
      </c>
      <c r="AC27" s="607" t="s">
        <v>621</v>
      </c>
      <c r="AD27" s="608"/>
      <c r="AE27" s="609">
        <f t="shared" si="14"/>
        <v>0</v>
      </c>
      <c r="AF27" s="610"/>
      <c r="AG27" s="611">
        <f t="shared" si="15"/>
        <v>0</v>
      </c>
      <c r="AH27" s="612">
        <f t="shared" si="16"/>
        <v>0</v>
      </c>
      <c r="AI27" s="610"/>
    </row>
    <row r="28" spans="1:35" s="172" customFormat="1" ht="56" hidden="1" customHeight="1" x14ac:dyDescent="0.25">
      <c r="A28" s="316"/>
      <c r="B28" s="933"/>
      <c r="C28" s="592" t="str">
        <f t="shared" si="18"/>
        <v>26/1/</v>
      </c>
      <c r="D28" s="593" t="s">
        <v>172</v>
      </c>
      <c r="E28" s="594" t="s">
        <v>446</v>
      </c>
      <c r="F28" s="594" t="s">
        <v>145</v>
      </c>
      <c r="G28" s="698" t="s">
        <v>39</v>
      </c>
      <c r="H28" s="595"/>
      <c r="I28" s="596"/>
      <c r="J28" s="619"/>
      <c r="K28" s="597" t="s">
        <v>544</v>
      </c>
      <c r="L28" s="598">
        <v>46052</v>
      </c>
      <c r="M28" s="599">
        <f t="shared" si="35"/>
        <v>46052</v>
      </c>
      <c r="N28" s="764" t="s">
        <v>39</v>
      </c>
      <c r="O28" s="613" t="s">
        <v>536</v>
      </c>
      <c r="P28" s="613" t="s">
        <v>530</v>
      </c>
      <c r="Q28" s="614" t="s">
        <v>530</v>
      </c>
      <c r="R28" s="620"/>
      <c r="S28" s="621">
        <v>1000</v>
      </c>
      <c r="T28" s="622"/>
      <c r="U28" s="623">
        <v>0</v>
      </c>
      <c r="V28" s="600">
        <v>46052</v>
      </c>
      <c r="W28" s="601">
        <f t="shared" si="9"/>
        <v>46052</v>
      </c>
      <c r="X28" s="602">
        <f t="shared" si="10"/>
        <v>0</v>
      </c>
      <c r="Y28" s="603">
        <f t="shared" si="11"/>
        <v>1000</v>
      </c>
      <c r="Z28" s="604" t="s">
        <v>12</v>
      </c>
      <c r="AA28" s="605" t="str">
        <f t="shared" si="12"/>
        <v>RABONA</v>
      </c>
      <c r="AB28" s="606" t="str">
        <f t="shared" si="13"/>
        <v>PENDING EXECUTION</v>
      </c>
      <c r="AC28" s="607" t="s">
        <v>621</v>
      </c>
      <c r="AD28" s="608"/>
      <c r="AE28" s="609">
        <f t="shared" si="14"/>
        <v>0</v>
      </c>
      <c r="AF28" s="610"/>
      <c r="AG28" s="611">
        <f t="shared" si="15"/>
        <v>0</v>
      </c>
      <c r="AH28" s="612">
        <f t="shared" si="16"/>
        <v>0</v>
      </c>
      <c r="AI28" s="610"/>
    </row>
    <row r="29" spans="1:35" s="172" customFormat="1" ht="56" hidden="1" customHeight="1" x14ac:dyDescent="0.25">
      <c r="A29" s="316"/>
      <c r="B29" s="933"/>
      <c r="C29" s="592" t="str">
        <f t="shared" si="18"/>
        <v>26/1/</v>
      </c>
      <c r="D29" s="593" t="s">
        <v>173</v>
      </c>
      <c r="E29" s="615" t="s">
        <v>446</v>
      </c>
      <c r="F29" s="615" t="s">
        <v>145</v>
      </c>
      <c r="G29" s="616" t="s">
        <v>39</v>
      </c>
      <c r="H29" s="595"/>
      <c r="I29" s="596"/>
      <c r="J29" s="619"/>
      <c r="K29" s="597" t="s">
        <v>545</v>
      </c>
      <c r="L29" s="598">
        <v>46023</v>
      </c>
      <c r="M29" s="599">
        <f t="shared" si="30"/>
        <v>46023</v>
      </c>
      <c r="N29" s="764" t="s">
        <v>39</v>
      </c>
      <c r="O29" s="613" t="s">
        <v>536</v>
      </c>
      <c r="P29" s="613" t="s">
        <v>530</v>
      </c>
      <c r="Q29" s="614" t="s">
        <v>530</v>
      </c>
      <c r="R29" s="620"/>
      <c r="S29" s="621">
        <v>1000</v>
      </c>
      <c r="T29" s="622"/>
      <c r="U29" s="623">
        <v>0</v>
      </c>
      <c r="V29" s="600">
        <v>46052</v>
      </c>
      <c r="W29" s="601">
        <f t="shared" si="9"/>
        <v>46052</v>
      </c>
      <c r="X29" s="602">
        <f t="shared" si="10"/>
        <v>0</v>
      </c>
      <c r="Y29" s="603">
        <f t="shared" si="11"/>
        <v>1000</v>
      </c>
      <c r="Z29" s="604" t="s">
        <v>12</v>
      </c>
      <c r="AA29" s="605" t="str">
        <f t="shared" si="12"/>
        <v>RABONA</v>
      </c>
      <c r="AB29" s="606" t="str">
        <f t="shared" si="13"/>
        <v>PENDING EXECUTION</v>
      </c>
      <c r="AC29" s="607" t="s">
        <v>621</v>
      </c>
      <c r="AD29" s="608"/>
      <c r="AE29" s="609">
        <f t="shared" si="14"/>
        <v>0</v>
      </c>
      <c r="AF29" s="610"/>
      <c r="AG29" s="611">
        <f t="shared" si="15"/>
        <v>0</v>
      </c>
      <c r="AH29" s="612">
        <f t="shared" si="16"/>
        <v>0</v>
      </c>
      <c r="AI29" s="610"/>
    </row>
    <row r="30" spans="1:35" s="533" customFormat="1" ht="56" hidden="1" customHeight="1" x14ac:dyDescent="0.25">
      <c r="A30" s="316"/>
      <c r="B30" s="933"/>
      <c r="C30" s="592" t="str">
        <f t="shared" ref="C30" si="36">IF(A29=0,$C$4,"-")</f>
        <v>26/1/</v>
      </c>
      <c r="D30" s="593" t="s">
        <v>174</v>
      </c>
      <c r="E30" s="615" t="s">
        <v>446</v>
      </c>
      <c r="F30" s="615" t="s">
        <v>145</v>
      </c>
      <c r="G30" s="616" t="s">
        <v>39</v>
      </c>
      <c r="H30" s="765"/>
      <c r="I30" s="766"/>
      <c r="J30" s="766"/>
      <c r="K30" s="597" t="s">
        <v>546</v>
      </c>
      <c r="L30" s="767">
        <v>46026</v>
      </c>
      <c r="M30" s="768">
        <f t="shared" ref="M30:M32" si="37">L30</f>
        <v>46026</v>
      </c>
      <c r="N30" s="764" t="s">
        <v>39</v>
      </c>
      <c r="O30" s="613" t="s">
        <v>536</v>
      </c>
      <c r="P30" s="613" t="s">
        <v>530</v>
      </c>
      <c r="Q30" s="614" t="s">
        <v>530</v>
      </c>
      <c r="R30" s="769"/>
      <c r="S30" s="770">
        <v>1000</v>
      </c>
      <c r="T30" s="771"/>
      <c r="U30" s="772">
        <v>0</v>
      </c>
      <c r="V30" s="600">
        <v>46052</v>
      </c>
      <c r="W30" s="773">
        <f t="shared" ref="W30:W31" si="38">V30</f>
        <v>46052</v>
      </c>
      <c r="X30" s="602">
        <f t="shared" ref="X30:X31" si="39">T30+U30</f>
        <v>0</v>
      </c>
      <c r="Y30" s="603">
        <f t="shared" ref="Y30:Y31" si="40">S30-X30</f>
        <v>1000</v>
      </c>
      <c r="Z30" s="774" t="s">
        <v>12</v>
      </c>
      <c r="AA30" s="605" t="str">
        <f t="shared" si="12"/>
        <v>RABONA</v>
      </c>
      <c r="AB30" s="606" t="str">
        <f t="shared" ref="AB30:AB31" si="41">IF(Y30&gt;0,"PENDING EXECUTION","COMPLETED")</f>
        <v>PENDING EXECUTION</v>
      </c>
      <c r="AC30" s="607" t="s">
        <v>621</v>
      </c>
      <c r="AD30" s="775"/>
      <c r="AE30" s="776">
        <f t="shared" ref="AE30" si="42">IF(AA30=$AD$5,S30,0)</f>
        <v>0</v>
      </c>
      <c r="AF30" s="777"/>
      <c r="AG30" s="778">
        <f t="shared" ref="AG30" si="43">IF(Z30=$AG$5,X30,0)</f>
        <v>0</v>
      </c>
      <c r="AH30" s="776">
        <f t="shared" ref="AH30" si="44">IF(AA30=$AH$5,X30,0)</f>
        <v>0</v>
      </c>
      <c r="AI30" s="777"/>
    </row>
    <row r="31" spans="1:35" s="172" customFormat="1" ht="56" hidden="1" customHeight="1" x14ac:dyDescent="0.25">
      <c r="A31" s="316"/>
      <c r="B31" s="932"/>
      <c r="C31" s="730" t="str">
        <f t="shared" si="18"/>
        <v>26/1/</v>
      </c>
      <c r="D31" s="731" t="s">
        <v>175</v>
      </c>
      <c r="E31" s="732" t="s">
        <v>143</v>
      </c>
      <c r="F31" s="732" t="s">
        <v>145</v>
      </c>
      <c r="G31" s="733" t="s">
        <v>39</v>
      </c>
      <c r="H31" s="762"/>
      <c r="I31" s="763"/>
      <c r="J31" s="763"/>
      <c r="K31" s="737" t="s">
        <v>547</v>
      </c>
      <c r="L31" s="934">
        <v>46035</v>
      </c>
      <c r="M31" s="935">
        <f t="shared" si="37"/>
        <v>46035</v>
      </c>
      <c r="N31" s="740" t="s">
        <v>529</v>
      </c>
      <c r="O31" s="741" t="s">
        <v>423</v>
      </c>
      <c r="P31" s="741" t="s">
        <v>354</v>
      </c>
      <c r="Q31" s="742" t="s">
        <v>50</v>
      </c>
      <c r="R31" s="936"/>
      <c r="S31" s="937">
        <v>150</v>
      </c>
      <c r="T31" s="938"/>
      <c r="U31" s="939">
        <f t="shared" ref="U31" si="45">S31</f>
        <v>150</v>
      </c>
      <c r="V31" s="747">
        <f t="shared" ref="V31:V44" si="46">L31</f>
        <v>46035</v>
      </c>
      <c r="W31" s="940">
        <f t="shared" si="38"/>
        <v>46035</v>
      </c>
      <c r="X31" s="749">
        <f t="shared" si="39"/>
        <v>150</v>
      </c>
      <c r="Y31" s="750">
        <f t="shared" si="40"/>
        <v>0</v>
      </c>
      <c r="Z31" s="941" t="s">
        <v>14</v>
      </c>
      <c r="AA31" s="752" t="str">
        <f t="shared" ref="AA31" si="47">G31</f>
        <v>RABONA</v>
      </c>
      <c r="AB31" s="753" t="str">
        <f t="shared" si="41"/>
        <v>COMPLETED</v>
      </c>
      <c r="AC31" s="754" t="s">
        <v>139</v>
      </c>
      <c r="AD31" s="942"/>
      <c r="AE31" s="943">
        <f t="shared" si="14"/>
        <v>0</v>
      </c>
      <c r="AF31" s="944"/>
      <c r="AG31" s="945">
        <f t="shared" si="15"/>
        <v>150</v>
      </c>
      <c r="AH31" s="943">
        <f t="shared" si="16"/>
        <v>0</v>
      </c>
      <c r="AI31" s="944" t="s">
        <v>104</v>
      </c>
    </row>
    <row r="32" spans="1:35" s="172" customFormat="1" ht="56" hidden="1" customHeight="1" x14ac:dyDescent="0.25">
      <c r="A32" s="316"/>
      <c r="B32" s="932"/>
      <c r="C32" s="730" t="str">
        <f t="shared" si="18"/>
        <v>26/1/</v>
      </c>
      <c r="D32" s="731" t="s">
        <v>176</v>
      </c>
      <c r="E32" s="732" t="s">
        <v>143</v>
      </c>
      <c r="F32" s="732" t="s">
        <v>145</v>
      </c>
      <c r="G32" s="733" t="s">
        <v>39</v>
      </c>
      <c r="H32" s="734"/>
      <c r="I32" s="735"/>
      <c r="J32" s="735"/>
      <c r="K32" s="946" t="s">
        <v>628</v>
      </c>
      <c r="L32" s="738">
        <v>46035</v>
      </c>
      <c r="M32" s="739">
        <f t="shared" si="37"/>
        <v>46035</v>
      </c>
      <c r="N32" s="740" t="s">
        <v>529</v>
      </c>
      <c r="O32" s="741" t="s">
        <v>423</v>
      </c>
      <c r="P32" s="741" t="s">
        <v>354</v>
      </c>
      <c r="Q32" s="742" t="s">
        <v>50</v>
      </c>
      <c r="R32" s="947"/>
      <c r="S32" s="948">
        <v>200</v>
      </c>
      <c r="T32" s="938"/>
      <c r="U32" s="939">
        <f>S32</f>
        <v>200</v>
      </c>
      <c r="V32" s="747">
        <f t="shared" si="46"/>
        <v>46035</v>
      </c>
      <c r="W32" s="748">
        <f t="shared" si="9"/>
        <v>46035</v>
      </c>
      <c r="X32" s="749">
        <f t="shared" si="10"/>
        <v>200</v>
      </c>
      <c r="Y32" s="750">
        <f t="shared" si="11"/>
        <v>0</v>
      </c>
      <c r="Z32" s="751" t="s">
        <v>14</v>
      </c>
      <c r="AA32" s="752" t="str">
        <f t="shared" si="12"/>
        <v>RABONA</v>
      </c>
      <c r="AB32" s="753" t="str">
        <f t="shared" si="13"/>
        <v>COMPLETED</v>
      </c>
      <c r="AC32" s="754" t="s">
        <v>139</v>
      </c>
      <c r="AD32" s="755"/>
      <c r="AE32" s="756">
        <f t="shared" si="14"/>
        <v>0</v>
      </c>
      <c r="AF32" s="757"/>
      <c r="AG32" s="758">
        <f t="shared" si="15"/>
        <v>200</v>
      </c>
      <c r="AH32" s="759">
        <f t="shared" si="16"/>
        <v>0</v>
      </c>
      <c r="AI32" s="757" t="s">
        <v>104</v>
      </c>
    </row>
    <row r="33" spans="1:35" s="172" customFormat="1" ht="56" hidden="1" customHeight="1" x14ac:dyDescent="0.25">
      <c r="A33" s="316"/>
      <c r="B33" s="933"/>
      <c r="C33" s="592" t="str">
        <f t="shared" si="18"/>
        <v>26/1/</v>
      </c>
      <c r="D33" s="593" t="s">
        <v>177</v>
      </c>
      <c r="E33" s="615" t="s">
        <v>446</v>
      </c>
      <c r="F33" s="615" t="s">
        <v>145</v>
      </c>
      <c r="G33" s="616" t="s">
        <v>39</v>
      </c>
      <c r="H33" s="595"/>
      <c r="I33" s="596"/>
      <c r="J33" s="596"/>
      <c r="K33" s="805" t="s">
        <v>437</v>
      </c>
      <c r="L33" s="598">
        <v>46030</v>
      </c>
      <c r="M33" s="599">
        <f t="shared" si="30"/>
        <v>46030</v>
      </c>
      <c r="N33" s="764" t="s">
        <v>39</v>
      </c>
      <c r="O33" s="613" t="s">
        <v>536</v>
      </c>
      <c r="P33" s="613" t="s">
        <v>530</v>
      </c>
      <c r="Q33" s="614" t="s">
        <v>530</v>
      </c>
      <c r="R33" s="806"/>
      <c r="S33" s="807">
        <v>2000</v>
      </c>
      <c r="T33" s="771"/>
      <c r="U33" s="772">
        <v>0</v>
      </c>
      <c r="V33" s="600">
        <v>46030</v>
      </c>
      <c r="W33" s="601">
        <f t="shared" si="9"/>
        <v>46030</v>
      </c>
      <c r="X33" s="602">
        <f t="shared" si="10"/>
        <v>0</v>
      </c>
      <c r="Y33" s="603">
        <f t="shared" si="11"/>
        <v>2000</v>
      </c>
      <c r="Z33" s="604" t="s">
        <v>12</v>
      </c>
      <c r="AA33" s="605" t="str">
        <f t="shared" si="12"/>
        <v>RABONA</v>
      </c>
      <c r="AB33" s="606" t="str">
        <f t="shared" si="13"/>
        <v>PENDING EXECUTION</v>
      </c>
      <c r="AC33" s="607" t="s">
        <v>621</v>
      </c>
      <c r="AD33" s="608"/>
      <c r="AE33" s="609">
        <f t="shared" si="14"/>
        <v>0</v>
      </c>
      <c r="AF33" s="610"/>
      <c r="AG33" s="611">
        <f t="shared" si="15"/>
        <v>0</v>
      </c>
      <c r="AH33" s="612">
        <f t="shared" si="16"/>
        <v>0</v>
      </c>
      <c r="AI33" s="610"/>
    </row>
    <row r="34" spans="1:35" s="172" customFormat="1" ht="56" hidden="1" customHeight="1" x14ac:dyDescent="0.25">
      <c r="A34" s="316"/>
      <c r="B34" s="932"/>
      <c r="C34" s="730" t="str">
        <f t="shared" si="18"/>
        <v>26/1/</v>
      </c>
      <c r="D34" s="731" t="s">
        <v>178</v>
      </c>
      <c r="E34" s="732" t="s">
        <v>143</v>
      </c>
      <c r="F34" s="732" t="s">
        <v>145</v>
      </c>
      <c r="G34" s="761" t="s">
        <v>39</v>
      </c>
      <c r="H34" s="734"/>
      <c r="I34" s="949"/>
      <c r="J34" s="736"/>
      <c r="K34" s="737" t="s">
        <v>691</v>
      </c>
      <c r="L34" s="738">
        <v>46041</v>
      </c>
      <c r="M34" s="739">
        <f t="shared" si="30"/>
        <v>46041</v>
      </c>
      <c r="N34" s="793" t="s">
        <v>23</v>
      </c>
      <c r="O34" s="741" t="s">
        <v>423</v>
      </c>
      <c r="P34" s="741" t="s">
        <v>354</v>
      </c>
      <c r="Q34" s="742" t="s">
        <v>50</v>
      </c>
      <c r="R34" s="950"/>
      <c r="S34" s="750">
        <v>500</v>
      </c>
      <c r="T34" s="938"/>
      <c r="U34" s="939">
        <f>S34</f>
        <v>500</v>
      </c>
      <c r="V34" s="747">
        <v>46041</v>
      </c>
      <c r="W34" s="748">
        <f t="shared" si="9"/>
        <v>46041</v>
      </c>
      <c r="X34" s="749">
        <f t="shared" si="10"/>
        <v>500</v>
      </c>
      <c r="Y34" s="750">
        <f t="shared" si="11"/>
        <v>0</v>
      </c>
      <c r="Z34" s="951" t="s">
        <v>14</v>
      </c>
      <c r="AA34" s="752" t="str">
        <f t="shared" si="12"/>
        <v>RABONA</v>
      </c>
      <c r="AB34" s="753" t="str">
        <f t="shared" si="13"/>
        <v>COMPLETED</v>
      </c>
      <c r="AC34" s="754" t="s">
        <v>139</v>
      </c>
      <c r="AD34" s="755"/>
      <c r="AE34" s="756">
        <f t="shared" si="14"/>
        <v>0</v>
      </c>
      <c r="AF34" s="757"/>
      <c r="AG34" s="758">
        <f t="shared" si="15"/>
        <v>500</v>
      </c>
      <c r="AH34" s="759">
        <f t="shared" si="16"/>
        <v>0</v>
      </c>
      <c r="AI34" s="757" t="s">
        <v>104</v>
      </c>
    </row>
    <row r="35" spans="1:35" s="172" customFormat="1" ht="56" hidden="1" customHeight="1" x14ac:dyDescent="0.25">
      <c r="A35" s="316"/>
      <c r="B35" s="933"/>
      <c r="C35" s="592" t="str">
        <f t="shared" si="18"/>
        <v>26/1/</v>
      </c>
      <c r="D35" s="593" t="s">
        <v>179</v>
      </c>
      <c r="E35" s="615" t="s">
        <v>446</v>
      </c>
      <c r="F35" s="615" t="s">
        <v>145</v>
      </c>
      <c r="G35" s="616" t="s">
        <v>39</v>
      </c>
      <c r="H35" s="595"/>
      <c r="I35" s="952"/>
      <c r="J35" s="619"/>
      <c r="K35" s="597" t="s">
        <v>439</v>
      </c>
      <c r="L35" s="598">
        <v>46040</v>
      </c>
      <c r="M35" s="599">
        <f t="shared" ref="M35:M36" si="48">L35</f>
        <v>46040</v>
      </c>
      <c r="N35" s="764" t="s">
        <v>39</v>
      </c>
      <c r="O35" s="613" t="s">
        <v>536</v>
      </c>
      <c r="P35" s="613" t="s">
        <v>530</v>
      </c>
      <c r="Q35" s="614" t="s">
        <v>530</v>
      </c>
      <c r="R35" s="953"/>
      <c r="S35" s="603">
        <v>60</v>
      </c>
      <c r="T35" s="771"/>
      <c r="U35" s="772">
        <v>0</v>
      </c>
      <c r="V35" s="600">
        <f t="shared" si="46"/>
        <v>46040</v>
      </c>
      <c r="W35" s="601">
        <f t="shared" si="9"/>
        <v>46040</v>
      </c>
      <c r="X35" s="602">
        <f t="shared" si="10"/>
        <v>0</v>
      </c>
      <c r="Y35" s="603">
        <f t="shared" si="11"/>
        <v>60</v>
      </c>
      <c r="Z35" s="954" t="s">
        <v>12</v>
      </c>
      <c r="AA35" s="605" t="str">
        <f t="shared" si="12"/>
        <v>RABONA</v>
      </c>
      <c r="AB35" s="606" t="str">
        <f t="shared" si="13"/>
        <v>PENDING EXECUTION</v>
      </c>
      <c r="AC35" s="607" t="s">
        <v>621</v>
      </c>
      <c r="AD35" s="608"/>
      <c r="AE35" s="609">
        <f t="shared" si="14"/>
        <v>0</v>
      </c>
      <c r="AF35" s="610"/>
      <c r="AG35" s="611">
        <f t="shared" si="15"/>
        <v>0</v>
      </c>
      <c r="AH35" s="612">
        <f t="shared" si="16"/>
        <v>0</v>
      </c>
      <c r="AI35" s="610"/>
    </row>
    <row r="36" spans="1:35" s="172" customFormat="1" ht="56" hidden="1" customHeight="1" x14ac:dyDescent="0.25">
      <c r="A36" s="316"/>
      <c r="B36" s="933"/>
      <c r="C36" s="592" t="str">
        <f t="shared" si="18"/>
        <v>26/1/</v>
      </c>
      <c r="D36" s="593" t="s">
        <v>180</v>
      </c>
      <c r="E36" s="615" t="s">
        <v>446</v>
      </c>
      <c r="F36" s="615" t="s">
        <v>145</v>
      </c>
      <c r="G36" s="616" t="s">
        <v>39</v>
      </c>
      <c r="H36" s="595"/>
      <c r="I36" s="952"/>
      <c r="J36" s="619"/>
      <c r="K36" s="597" t="s">
        <v>440</v>
      </c>
      <c r="L36" s="598">
        <v>46041</v>
      </c>
      <c r="M36" s="599">
        <f t="shared" si="48"/>
        <v>46041</v>
      </c>
      <c r="N36" s="764" t="s">
        <v>39</v>
      </c>
      <c r="O36" s="613" t="s">
        <v>536</v>
      </c>
      <c r="P36" s="613" t="s">
        <v>530</v>
      </c>
      <c r="Q36" s="614" t="s">
        <v>530</v>
      </c>
      <c r="R36" s="953"/>
      <c r="S36" s="603">
        <v>1500</v>
      </c>
      <c r="T36" s="771"/>
      <c r="U36" s="772">
        <v>0</v>
      </c>
      <c r="V36" s="600">
        <f t="shared" si="46"/>
        <v>46041</v>
      </c>
      <c r="W36" s="601">
        <f t="shared" si="9"/>
        <v>46041</v>
      </c>
      <c r="X36" s="602">
        <f t="shared" si="10"/>
        <v>0</v>
      </c>
      <c r="Y36" s="603">
        <f t="shared" si="11"/>
        <v>1500</v>
      </c>
      <c r="Z36" s="954" t="s">
        <v>12</v>
      </c>
      <c r="AA36" s="605" t="str">
        <f t="shared" si="12"/>
        <v>RABONA</v>
      </c>
      <c r="AB36" s="606" t="str">
        <f t="shared" si="13"/>
        <v>PENDING EXECUTION</v>
      </c>
      <c r="AC36" s="607" t="s">
        <v>621</v>
      </c>
      <c r="AD36" s="608"/>
      <c r="AE36" s="609">
        <f t="shared" si="14"/>
        <v>0</v>
      </c>
      <c r="AF36" s="610"/>
      <c r="AG36" s="611">
        <f t="shared" si="15"/>
        <v>0</v>
      </c>
      <c r="AH36" s="612">
        <f t="shared" si="16"/>
        <v>0</v>
      </c>
      <c r="AI36" s="610"/>
    </row>
    <row r="37" spans="1:35" s="172" customFormat="1" ht="56" hidden="1" customHeight="1" x14ac:dyDescent="0.25">
      <c r="A37" s="316"/>
      <c r="B37" s="932"/>
      <c r="C37" s="730" t="str">
        <f t="shared" si="18"/>
        <v>26/1/</v>
      </c>
      <c r="D37" s="731" t="s">
        <v>181</v>
      </c>
      <c r="E37" s="732" t="s">
        <v>143</v>
      </c>
      <c r="F37" s="732" t="s">
        <v>145</v>
      </c>
      <c r="G37" s="761" t="s">
        <v>39</v>
      </c>
      <c r="H37" s="734"/>
      <c r="I37" s="949"/>
      <c r="J37" s="736"/>
      <c r="K37" s="737" t="s">
        <v>692</v>
      </c>
      <c r="L37" s="738">
        <v>46029</v>
      </c>
      <c r="M37" s="739">
        <f t="shared" ref="M37:M38" si="49">L37</f>
        <v>46029</v>
      </c>
      <c r="N37" s="989" t="s">
        <v>693</v>
      </c>
      <c r="O37" s="955" t="s">
        <v>762</v>
      </c>
      <c r="P37" s="956" t="s">
        <v>361</v>
      </c>
      <c r="Q37" s="957" t="s">
        <v>361</v>
      </c>
      <c r="R37" s="950"/>
      <c r="S37" s="750">
        <v>114.32</v>
      </c>
      <c r="T37" s="938"/>
      <c r="U37" s="939">
        <f>S37</f>
        <v>114.32</v>
      </c>
      <c r="V37" s="747">
        <f t="shared" si="46"/>
        <v>46029</v>
      </c>
      <c r="W37" s="748">
        <f t="shared" si="9"/>
        <v>46029</v>
      </c>
      <c r="X37" s="749">
        <f t="shared" si="10"/>
        <v>114.32</v>
      </c>
      <c r="Y37" s="750">
        <f t="shared" si="11"/>
        <v>0</v>
      </c>
      <c r="Z37" s="951" t="s">
        <v>13</v>
      </c>
      <c r="AA37" s="752" t="str">
        <f t="shared" si="12"/>
        <v>RABONA</v>
      </c>
      <c r="AB37" s="753" t="str">
        <f t="shared" si="13"/>
        <v>COMPLETED</v>
      </c>
      <c r="AC37" s="754" t="s">
        <v>763</v>
      </c>
      <c r="AD37" s="755"/>
      <c r="AE37" s="756">
        <f t="shared" si="14"/>
        <v>0</v>
      </c>
      <c r="AF37" s="757"/>
      <c r="AG37" s="758">
        <f t="shared" si="15"/>
        <v>0</v>
      </c>
      <c r="AH37" s="759">
        <f t="shared" si="16"/>
        <v>0</v>
      </c>
      <c r="AI37" s="757"/>
    </row>
    <row r="38" spans="1:35" s="172" customFormat="1" ht="56" hidden="1" customHeight="1" x14ac:dyDescent="0.25">
      <c r="A38" s="316"/>
      <c r="B38" s="933"/>
      <c r="C38" s="592" t="str">
        <f t="shared" si="18"/>
        <v>26/1/</v>
      </c>
      <c r="D38" s="593" t="s">
        <v>182</v>
      </c>
      <c r="E38" s="615" t="s">
        <v>446</v>
      </c>
      <c r="F38" s="615" t="s">
        <v>145</v>
      </c>
      <c r="G38" s="616" t="s">
        <v>39</v>
      </c>
      <c r="H38" s="595"/>
      <c r="I38" s="952"/>
      <c r="J38" s="619"/>
      <c r="K38" s="597" t="s">
        <v>694</v>
      </c>
      <c r="L38" s="598">
        <v>46049</v>
      </c>
      <c r="M38" s="599">
        <f t="shared" si="49"/>
        <v>46049</v>
      </c>
      <c r="N38" s="624" t="s">
        <v>529</v>
      </c>
      <c r="O38" s="625" t="s">
        <v>423</v>
      </c>
      <c r="P38" s="625" t="s">
        <v>354</v>
      </c>
      <c r="Q38" s="626" t="s">
        <v>50</v>
      </c>
      <c r="R38" s="953"/>
      <c r="S38" s="603">
        <v>50</v>
      </c>
      <c r="T38" s="771"/>
      <c r="U38" s="772">
        <f>S38</f>
        <v>50</v>
      </c>
      <c r="V38" s="600">
        <f t="shared" si="46"/>
        <v>46049</v>
      </c>
      <c r="W38" s="601">
        <f t="shared" si="9"/>
        <v>46049</v>
      </c>
      <c r="X38" s="602">
        <f t="shared" si="10"/>
        <v>50</v>
      </c>
      <c r="Y38" s="603">
        <f t="shared" si="11"/>
        <v>0</v>
      </c>
      <c r="Z38" s="954" t="s">
        <v>14</v>
      </c>
      <c r="AA38" s="605" t="str">
        <f t="shared" si="12"/>
        <v>RABONA</v>
      </c>
      <c r="AB38" s="606" t="str">
        <f t="shared" si="13"/>
        <v>COMPLETED</v>
      </c>
      <c r="AC38" s="607" t="s">
        <v>139</v>
      </c>
      <c r="AD38" s="608"/>
      <c r="AE38" s="609">
        <f t="shared" si="14"/>
        <v>0</v>
      </c>
      <c r="AF38" s="610"/>
      <c r="AG38" s="611">
        <f t="shared" si="15"/>
        <v>50</v>
      </c>
      <c r="AH38" s="612">
        <f t="shared" si="16"/>
        <v>0</v>
      </c>
      <c r="AI38" s="610" t="s">
        <v>104</v>
      </c>
    </row>
    <row r="39" spans="1:35" s="172" customFormat="1" ht="58" hidden="1" customHeight="1" x14ac:dyDescent="0.25">
      <c r="A39" s="316"/>
      <c r="B39" s="933"/>
      <c r="C39" s="592" t="str">
        <f t="shared" si="18"/>
        <v>26/1/</v>
      </c>
      <c r="D39" s="593" t="s">
        <v>183</v>
      </c>
      <c r="E39" s="615" t="s">
        <v>446</v>
      </c>
      <c r="F39" s="615" t="s">
        <v>145</v>
      </c>
      <c r="G39" s="616" t="s">
        <v>39</v>
      </c>
      <c r="H39" s="595"/>
      <c r="I39" s="952"/>
      <c r="J39" s="619"/>
      <c r="K39" s="597" t="s">
        <v>441</v>
      </c>
      <c r="L39" s="598">
        <v>46052</v>
      </c>
      <c r="M39" s="599">
        <f t="shared" si="30"/>
        <v>46052</v>
      </c>
      <c r="N39" s="624" t="s">
        <v>529</v>
      </c>
      <c r="O39" s="625" t="s">
        <v>423</v>
      </c>
      <c r="P39" s="625" t="s">
        <v>354</v>
      </c>
      <c r="Q39" s="626" t="s">
        <v>50</v>
      </c>
      <c r="R39" s="953"/>
      <c r="S39" s="603">
        <v>500</v>
      </c>
      <c r="T39" s="771"/>
      <c r="U39" s="772">
        <f>S39</f>
        <v>500</v>
      </c>
      <c r="V39" s="600">
        <f t="shared" si="46"/>
        <v>46052</v>
      </c>
      <c r="W39" s="601">
        <f t="shared" si="9"/>
        <v>46052</v>
      </c>
      <c r="X39" s="602">
        <f t="shared" si="10"/>
        <v>500</v>
      </c>
      <c r="Y39" s="603">
        <f t="shared" si="11"/>
        <v>0</v>
      </c>
      <c r="Z39" s="954" t="s">
        <v>14</v>
      </c>
      <c r="AA39" s="605" t="str">
        <f t="shared" si="12"/>
        <v>RABONA</v>
      </c>
      <c r="AB39" s="606" t="str">
        <f t="shared" si="13"/>
        <v>COMPLETED</v>
      </c>
      <c r="AC39" s="607" t="s">
        <v>139</v>
      </c>
      <c r="AD39" s="608"/>
      <c r="AE39" s="609">
        <f t="shared" si="14"/>
        <v>0</v>
      </c>
      <c r="AF39" s="610"/>
      <c r="AG39" s="611">
        <f t="shared" si="15"/>
        <v>500</v>
      </c>
      <c r="AH39" s="612">
        <f t="shared" si="16"/>
        <v>0</v>
      </c>
      <c r="AI39" s="610" t="s">
        <v>104</v>
      </c>
    </row>
    <row r="40" spans="1:35" s="172" customFormat="1" ht="56" hidden="1" customHeight="1" x14ac:dyDescent="0.25">
      <c r="A40" s="316"/>
      <c r="B40" s="933"/>
      <c r="C40" s="592" t="str">
        <f t="shared" si="18"/>
        <v>26/1/</v>
      </c>
      <c r="D40" s="593" t="s">
        <v>184</v>
      </c>
      <c r="E40" s="615" t="s">
        <v>446</v>
      </c>
      <c r="F40" s="615" t="s">
        <v>145</v>
      </c>
      <c r="G40" s="616" t="s">
        <v>39</v>
      </c>
      <c r="H40" s="595"/>
      <c r="I40" s="952"/>
      <c r="J40" s="619"/>
      <c r="K40" s="597" t="s">
        <v>442</v>
      </c>
      <c r="L40" s="598">
        <v>46034</v>
      </c>
      <c r="M40" s="599">
        <f t="shared" si="30"/>
        <v>46034</v>
      </c>
      <c r="N40" s="990" t="s">
        <v>40</v>
      </c>
      <c r="O40" s="613" t="s">
        <v>792</v>
      </c>
      <c r="P40" s="613" t="s">
        <v>361</v>
      </c>
      <c r="Q40" s="614" t="s">
        <v>361</v>
      </c>
      <c r="R40" s="953"/>
      <c r="S40" s="603">
        <v>8.91</v>
      </c>
      <c r="T40" s="771"/>
      <c r="U40" s="772">
        <f>S40</f>
        <v>8.91</v>
      </c>
      <c r="V40" s="600">
        <f t="shared" si="46"/>
        <v>46034</v>
      </c>
      <c r="W40" s="601">
        <f t="shared" ref="W40" si="50">V40</f>
        <v>46034</v>
      </c>
      <c r="X40" s="602">
        <f t="shared" ref="X40" si="51">T40+U40</f>
        <v>8.91</v>
      </c>
      <c r="Y40" s="603">
        <f t="shared" ref="Y40" si="52">S40-X40</f>
        <v>0</v>
      </c>
      <c r="Z40" s="954" t="s">
        <v>447</v>
      </c>
      <c r="AA40" s="605" t="str">
        <f t="shared" ref="AA40" si="53">G40</f>
        <v>RABONA</v>
      </c>
      <c r="AB40" s="606" t="str">
        <f t="shared" ref="AB40:AB41" si="54">IF(Y40&gt;0,"PENDING EXECUTION","COMPLETED")</f>
        <v>COMPLETED</v>
      </c>
      <c r="AC40" s="607" t="s">
        <v>767</v>
      </c>
      <c r="AD40" s="608"/>
      <c r="AE40" s="609">
        <f t="shared" ref="AE40" si="55">IF(AA40=$AD$5,S40,0)</f>
        <v>0</v>
      </c>
      <c r="AF40" s="610"/>
      <c r="AG40" s="611">
        <f t="shared" ref="AG40" si="56">IF(Z40=$AG$5,X40,0)</f>
        <v>0</v>
      </c>
      <c r="AH40" s="612">
        <f t="shared" ref="AH40:AH41" si="57">IF(AA40=$AH$5,X40,0)</f>
        <v>0</v>
      </c>
      <c r="AI40" s="610"/>
    </row>
    <row r="41" spans="1:35" s="172" customFormat="1" ht="56" hidden="1" customHeight="1" x14ac:dyDescent="0.25">
      <c r="A41" s="316"/>
      <c r="B41" s="933"/>
      <c r="C41" s="592" t="str">
        <f t="shared" si="18"/>
        <v>26/1/</v>
      </c>
      <c r="D41" s="593" t="s">
        <v>185</v>
      </c>
      <c r="E41" s="615" t="s">
        <v>446</v>
      </c>
      <c r="F41" s="615" t="s">
        <v>145</v>
      </c>
      <c r="G41" s="616" t="s">
        <v>39</v>
      </c>
      <c r="H41" s="595"/>
      <c r="I41" s="952"/>
      <c r="J41" s="619"/>
      <c r="K41" s="597" t="s">
        <v>695</v>
      </c>
      <c r="L41" s="598">
        <v>46034</v>
      </c>
      <c r="M41" s="599">
        <f t="shared" si="30"/>
        <v>46034</v>
      </c>
      <c r="N41" s="990" t="s">
        <v>40</v>
      </c>
      <c r="O41" s="613" t="s">
        <v>763</v>
      </c>
      <c r="P41" s="613" t="s">
        <v>361</v>
      </c>
      <c r="Q41" s="614" t="s">
        <v>361</v>
      </c>
      <c r="R41" s="953"/>
      <c r="S41" s="603">
        <v>4.79</v>
      </c>
      <c r="T41" s="771"/>
      <c r="U41" s="772">
        <f>S41</f>
        <v>4.79</v>
      </c>
      <c r="V41" s="600">
        <f t="shared" si="46"/>
        <v>46034</v>
      </c>
      <c r="W41" s="601">
        <f t="shared" si="9"/>
        <v>46034</v>
      </c>
      <c r="X41" s="602">
        <f t="shared" si="10"/>
        <v>4.79</v>
      </c>
      <c r="Y41" s="603">
        <f t="shared" si="11"/>
        <v>0</v>
      </c>
      <c r="Z41" s="954" t="s">
        <v>447</v>
      </c>
      <c r="AA41" s="605" t="str">
        <f t="shared" si="12"/>
        <v>RABONA</v>
      </c>
      <c r="AB41" s="606" t="str">
        <f t="shared" si="54"/>
        <v>COMPLETED</v>
      </c>
      <c r="AC41" s="607" t="s">
        <v>767</v>
      </c>
      <c r="AD41" s="608"/>
      <c r="AE41" s="609">
        <f t="shared" si="14"/>
        <v>0</v>
      </c>
      <c r="AF41" s="610"/>
      <c r="AG41" s="611">
        <f t="shared" si="15"/>
        <v>0</v>
      </c>
      <c r="AH41" s="612">
        <f t="shared" si="57"/>
        <v>0</v>
      </c>
      <c r="AI41" s="610"/>
    </row>
    <row r="42" spans="1:35" s="172" customFormat="1" ht="56" hidden="1" customHeight="1" x14ac:dyDescent="0.25">
      <c r="A42" s="316"/>
      <c r="B42" s="371"/>
      <c r="C42" s="627" t="str">
        <f t="shared" si="18"/>
        <v>26/1/</v>
      </c>
      <c r="D42" s="628" t="s">
        <v>186</v>
      </c>
      <c r="E42" s="555" t="s">
        <v>143</v>
      </c>
      <c r="F42" s="555" t="s">
        <v>144</v>
      </c>
      <c r="G42" s="638" t="s">
        <v>39</v>
      </c>
      <c r="H42" s="639"/>
      <c r="I42" s="958"/>
      <c r="J42" s="959"/>
      <c r="K42" s="960"/>
      <c r="L42" s="961">
        <v>46052</v>
      </c>
      <c r="M42" s="640">
        <f t="shared" ref="M42" si="58">L42</f>
        <v>46052</v>
      </c>
      <c r="N42" s="629" t="s">
        <v>548</v>
      </c>
      <c r="O42" s="630" t="s">
        <v>576</v>
      </c>
      <c r="P42" s="630" t="s">
        <v>95</v>
      </c>
      <c r="Q42" s="631" t="s">
        <v>95</v>
      </c>
      <c r="R42" s="962"/>
      <c r="S42" s="634">
        <v>1000</v>
      </c>
      <c r="T42" s="963">
        <f t="shared" ref="T42:T47" si="59">S42</f>
        <v>1000</v>
      </c>
      <c r="U42" s="632"/>
      <c r="V42" s="964">
        <f t="shared" si="46"/>
        <v>46052</v>
      </c>
      <c r="W42" s="641">
        <f t="shared" si="9"/>
        <v>46052</v>
      </c>
      <c r="X42" s="633">
        <f t="shared" si="10"/>
        <v>1000</v>
      </c>
      <c r="Y42" s="634">
        <f t="shared" si="11"/>
        <v>0</v>
      </c>
      <c r="Z42" s="644" t="s">
        <v>12</v>
      </c>
      <c r="AA42" s="635" t="str">
        <f t="shared" si="12"/>
        <v>RABONA</v>
      </c>
      <c r="AB42" s="636" t="str">
        <f t="shared" si="13"/>
        <v>COMPLETED</v>
      </c>
      <c r="AC42" s="637" t="s">
        <v>696</v>
      </c>
      <c r="AD42" s="642"/>
      <c r="AE42" s="643">
        <f t="shared" si="14"/>
        <v>0</v>
      </c>
      <c r="AF42" s="179"/>
      <c r="AG42" s="180">
        <f t="shared" si="15"/>
        <v>0</v>
      </c>
      <c r="AH42" s="181">
        <f t="shared" si="16"/>
        <v>0</v>
      </c>
      <c r="AI42" s="179"/>
    </row>
    <row r="43" spans="1:35" s="172" customFormat="1" ht="56" hidden="1" customHeight="1" x14ac:dyDescent="0.25">
      <c r="A43" s="316"/>
      <c r="B43" s="371"/>
      <c r="C43" s="627" t="str">
        <f t="shared" si="18"/>
        <v>26/1/</v>
      </c>
      <c r="D43" s="628" t="s">
        <v>187</v>
      </c>
      <c r="E43" s="555" t="s">
        <v>143</v>
      </c>
      <c r="F43" s="555" t="s">
        <v>144</v>
      </c>
      <c r="G43" s="638" t="s">
        <v>24</v>
      </c>
      <c r="H43" s="639"/>
      <c r="I43" s="958"/>
      <c r="J43" s="959"/>
      <c r="K43" s="960"/>
      <c r="L43" s="961">
        <v>46052</v>
      </c>
      <c r="M43" s="640">
        <f t="shared" si="30"/>
        <v>46052</v>
      </c>
      <c r="N43" s="629" t="s">
        <v>23</v>
      </c>
      <c r="O43" s="630" t="s">
        <v>140</v>
      </c>
      <c r="P43" s="630" t="s">
        <v>697</v>
      </c>
      <c r="Q43" s="631" t="s">
        <v>121</v>
      </c>
      <c r="R43" s="962"/>
      <c r="S43" s="634">
        <v>2500</v>
      </c>
      <c r="T43" s="963">
        <f t="shared" si="59"/>
        <v>2500</v>
      </c>
      <c r="U43" s="632"/>
      <c r="V43" s="964">
        <f t="shared" si="46"/>
        <v>46052</v>
      </c>
      <c r="W43" s="641">
        <f t="shared" si="9"/>
        <v>46052</v>
      </c>
      <c r="X43" s="633">
        <f t="shared" si="10"/>
        <v>2500</v>
      </c>
      <c r="Y43" s="634">
        <f t="shared" si="11"/>
        <v>0</v>
      </c>
      <c r="Z43" s="644" t="s">
        <v>12</v>
      </c>
      <c r="AA43" s="635" t="str">
        <f t="shared" si="12"/>
        <v>SHARE HOLDER</v>
      </c>
      <c r="AB43" s="636" t="str">
        <f t="shared" si="13"/>
        <v>COMPLETED</v>
      </c>
      <c r="AC43" s="637"/>
      <c r="AD43" s="642"/>
      <c r="AE43" s="643">
        <f t="shared" si="14"/>
        <v>0</v>
      </c>
      <c r="AF43" s="179"/>
      <c r="AG43" s="180">
        <f t="shared" si="15"/>
        <v>0</v>
      </c>
      <c r="AH43" s="181">
        <f t="shared" si="16"/>
        <v>2500</v>
      </c>
      <c r="AI43" s="179" t="s">
        <v>23</v>
      </c>
    </row>
    <row r="44" spans="1:35" s="172" customFormat="1" ht="56" hidden="1" customHeight="1" x14ac:dyDescent="0.25">
      <c r="A44" s="316"/>
      <c r="B44" s="371"/>
      <c r="C44" s="627" t="str">
        <f t="shared" si="18"/>
        <v>26/1/</v>
      </c>
      <c r="D44" s="628" t="s">
        <v>188</v>
      </c>
      <c r="E44" s="555" t="s">
        <v>143</v>
      </c>
      <c r="F44" s="555" t="s">
        <v>144</v>
      </c>
      <c r="G44" s="638" t="s">
        <v>24</v>
      </c>
      <c r="H44" s="639"/>
      <c r="I44" s="958"/>
      <c r="J44" s="959"/>
      <c r="K44" s="960"/>
      <c r="L44" s="961">
        <v>46031</v>
      </c>
      <c r="M44" s="640">
        <f t="shared" si="30"/>
        <v>46031</v>
      </c>
      <c r="N44" s="629" t="s">
        <v>23</v>
      </c>
      <c r="O44" s="630" t="s">
        <v>140</v>
      </c>
      <c r="P44" s="630" t="s">
        <v>697</v>
      </c>
      <c r="Q44" s="631" t="s">
        <v>121</v>
      </c>
      <c r="R44" s="962"/>
      <c r="S44" s="634">
        <v>1000</v>
      </c>
      <c r="T44" s="963">
        <f t="shared" si="59"/>
        <v>1000</v>
      </c>
      <c r="U44" s="632"/>
      <c r="V44" s="964">
        <f t="shared" si="46"/>
        <v>46031</v>
      </c>
      <c r="W44" s="641">
        <f t="shared" si="9"/>
        <v>46031</v>
      </c>
      <c r="X44" s="633">
        <f t="shared" si="10"/>
        <v>1000</v>
      </c>
      <c r="Y44" s="634">
        <f t="shared" si="11"/>
        <v>0</v>
      </c>
      <c r="Z44" s="644" t="s">
        <v>12</v>
      </c>
      <c r="AA44" s="635" t="str">
        <f t="shared" si="12"/>
        <v>SHARE HOLDER</v>
      </c>
      <c r="AB44" s="636" t="str">
        <f t="shared" si="13"/>
        <v>COMPLETED</v>
      </c>
      <c r="AC44" s="637"/>
      <c r="AD44" s="642"/>
      <c r="AE44" s="643">
        <f t="shared" si="14"/>
        <v>0</v>
      </c>
      <c r="AF44" s="179"/>
      <c r="AG44" s="180">
        <f t="shared" si="15"/>
        <v>0</v>
      </c>
      <c r="AH44" s="181">
        <f t="shared" si="16"/>
        <v>1000</v>
      </c>
      <c r="AI44" s="179" t="s">
        <v>23</v>
      </c>
    </row>
    <row r="45" spans="1:35" s="172" customFormat="1" ht="56" hidden="1" customHeight="1" x14ac:dyDescent="0.25">
      <c r="A45" s="316"/>
      <c r="B45" s="371"/>
      <c r="C45" s="627" t="str">
        <f t="shared" si="18"/>
        <v>26/1/</v>
      </c>
      <c r="D45" s="628" t="s">
        <v>189</v>
      </c>
      <c r="E45" s="372" t="s">
        <v>143</v>
      </c>
      <c r="F45" s="372" t="s">
        <v>144</v>
      </c>
      <c r="G45" s="638" t="s">
        <v>39</v>
      </c>
      <c r="H45" s="639"/>
      <c r="I45" s="958"/>
      <c r="J45" s="959"/>
      <c r="K45" s="960"/>
      <c r="L45" s="961">
        <v>46030</v>
      </c>
      <c r="M45" s="640">
        <f t="shared" si="30"/>
        <v>46030</v>
      </c>
      <c r="N45" s="629" t="s">
        <v>548</v>
      </c>
      <c r="O45" s="630" t="s">
        <v>576</v>
      </c>
      <c r="P45" s="630" t="s">
        <v>95</v>
      </c>
      <c r="Q45" s="631" t="s">
        <v>95</v>
      </c>
      <c r="R45" s="962"/>
      <c r="S45" s="634">
        <v>720</v>
      </c>
      <c r="T45" s="963">
        <f t="shared" si="59"/>
        <v>720</v>
      </c>
      <c r="U45" s="632"/>
      <c r="V45" s="964">
        <v>46030</v>
      </c>
      <c r="W45" s="641">
        <f t="shared" si="9"/>
        <v>46030</v>
      </c>
      <c r="X45" s="633">
        <f t="shared" si="10"/>
        <v>720</v>
      </c>
      <c r="Y45" s="634">
        <f t="shared" si="11"/>
        <v>0</v>
      </c>
      <c r="Z45" s="644" t="s">
        <v>12</v>
      </c>
      <c r="AA45" s="635" t="str">
        <f t="shared" si="12"/>
        <v>RABONA</v>
      </c>
      <c r="AB45" s="636" t="str">
        <f t="shared" si="13"/>
        <v>COMPLETED</v>
      </c>
      <c r="AC45" s="637" t="s">
        <v>705</v>
      </c>
      <c r="AD45" s="642"/>
      <c r="AE45" s="643">
        <f t="shared" si="14"/>
        <v>0</v>
      </c>
      <c r="AF45" s="179"/>
      <c r="AG45" s="180">
        <f t="shared" si="15"/>
        <v>0</v>
      </c>
      <c r="AH45" s="181">
        <f t="shared" si="16"/>
        <v>0</v>
      </c>
      <c r="AI45" s="179"/>
    </row>
    <row r="46" spans="1:35" s="172" customFormat="1" ht="56" hidden="1" customHeight="1" x14ac:dyDescent="0.25">
      <c r="A46" s="316"/>
      <c r="B46" s="371"/>
      <c r="C46" s="627" t="str">
        <f t="shared" si="18"/>
        <v>26/1/</v>
      </c>
      <c r="D46" s="628" t="s">
        <v>190</v>
      </c>
      <c r="E46" s="372" t="s">
        <v>143</v>
      </c>
      <c r="F46" s="372" t="s">
        <v>144</v>
      </c>
      <c r="G46" s="638" t="s">
        <v>24</v>
      </c>
      <c r="H46" s="639"/>
      <c r="I46" s="958"/>
      <c r="J46" s="959"/>
      <c r="K46" s="960"/>
      <c r="L46" s="961">
        <v>46041</v>
      </c>
      <c r="M46" s="640">
        <f t="shared" si="30"/>
        <v>46041</v>
      </c>
      <c r="N46" s="629" t="s">
        <v>23</v>
      </c>
      <c r="O46" s="630" t="s">
        <v>140</v>
      </c>
      <c r="P46" s="630" t="s">
        <v>697</v>
      </c>
      <c r="Q46" s="631" t="s">
        <v>121</v>
      </c>
      <c r="R46" s="962"/>
      <c r="S46" s="634">
        <v>1000</v>
      </c>
      <c r="T46" s="963">
        <f t="shared" si="59"/>
        <v>1000</v>
      </c>
      <c r="U46" s="632"/>
      <c r="V46" s="964">
        <v>46041</v>
      </c>
      <c r="W46" s="641">
        <f t="shared" si="9"/>
        <v>46041</v>
      </c>
      <c r="X46" s="633">
        <f t="shared" si="10"/>
        <v>1000</v>
      </c>
      <c r="Y46" s="634">
        <f t="shared" si="11"/>
        <v>0</v>
      </c>
      <c r="Z46" s="644" t="s">
        <v>12</v>
      </c>
      <c r="AA46" s="635" t="str">
        <f t="shared" ref="AA46:AA76" si="60">G46</f>
        <v>SHARE HOLDER</v>
      </c>
      <c r="AB46" s="636" t="str">
        <f t="shared" si="13"/>
        <v>COMPLETED</v>
      </c>
      <c r="AC46" s="637"/>
      <c r="AD46" s="642"/>
      <c r="AE46" s="643">
        <f t="shared" si="14"/>
        <v>0</v>
      </c>
      <c r="AF46" s="179"/>
      <c r="AG46" s="180">
        <f t="shared" si="15"/>
        <v>0</v>
      </c>
      <c r="AH46" s="181">
        <f t="shared" si="16"/>
        <v>1000</v>
      </c>
      <c r="AI46" s="179" t="s">
        <v>23</v>
      </c>
    </row>
    <row r="47" spans="1:35" s="533" customFormat="1" ht="56" hidden="1" customHeight="1" x14ac:dyDescent="0.25">
      <c r="A47" s="316"/>
      <c r="B47" s="371"/>
      <c r="C47" s="627" t="str">
        <f t="shared" si="18"/>
        <v>26/1/</v>
      </c>
      <c r="D47" s="628" t="s">
        <v>191</v>
      </c>
      <c r="E47" s="372" t="s">
        <v>143</v>
      </c>
      <c r="F47" s="372" t="s">
        <v>144</v>
      </c>
      <c r="G47" s="638" t="s">
        <v>24</v>
      </c>
      <c r="H47" s="639"/>
      <c r="I47" s="958"/>
      <c r="J47" s="959"/>
      <c r="K47" s="960"/>
      <c r="L47" s="961">
        <v>46048</v>
      </c>
      <c r="M47" s="640">
        <f t="shared" ref="M47:M50" si="61">L47</f>
        <v>46048</v>
      </c>
      <c r="N47" s="629" t="s">
        <v>103</v>
      </c>
      <c r="O47" s="630" t="s">
        <v>140</v>
      </c>
      <c r="P47" s="630" t="s">
        <v>698</v>
      </c>
      <c r="Q47" s="631" t="s">
        <v>121</v>
      </c>
      <c r="R47" s="962"/>
      <c r="S47" s="634">
        <v>10</v>
      </c>
      <c r="T47" s="963">
        <f t="shared" si="59"/>
        <v>10</v>
      </c>
      <c r="U47" s="632"/>
      <c r="V47" s="964">
        <v>46048</v>
      </c>
      <c r="W47" s="641">
        <f t="shared" si="9"/>
        <v>46048</v>
      </c>
      <c r="X47" s="633">
        <f t="shared" si="10"/>
        <v>10</v>
      </c>
      <c r="Y47" s="634">
        <f t="shared" si="11"/>
        <v>0</v>
      </c>
      <c r="Z47" s="644" t="s">
        <v>12</v>
      </c>
      <c r="AA47" s="635" t="str">
        <f t="shared" si="60"/>
        <v>SHARE HOLDER</v>
      </c>
      <c r="AB47" s="636" t="str">
        <f t="shared" si="13"/>
        <v>COMPLETED</v>
      </c>
      <c r="AC47" s="637"/>
      <c r="AD47" s="642"/>
      <c r="AE47" s="643">
        <f t="shared" si="14"/>
        <v>0</v>
      </c>
      <c r="AF47" s="179"/>
      <c r="AG47" s="180">
        <f t="shared" si="15"/>
        <v>0</v>
      </c>
      <c r="AH47" s="181">
        <f t="shared" si="16"/>
        <v>10</v>
      </c>
      <c r="AI47" s="179" t="s">
        <v>103</v>
      </c>
    </row>
    <row r="48" spans="1:35" s="172" customFormat="1" ht="56" hidden="1" customHeight="1" x14ac:dyDescent="0.25">
      <c r="A48" s="316"/>
      <c r="B48" s="371"/>
      <c r="C48" s="627" t="str">
        <f t="shared" si="18"/>
        <v>26/1/</v>
      </c>
      <c r="D48" s="628" t="s">
        <v>192</v>
      </c>
      <c r="E48" s="372" t="s">
        <v>143</v>
      </c>
      <c r="F48" s="372" t="s">
        <v>144</v>
      </c>
      <c r="G48" s="638" t="s">
        <v>24</v>
      </c>
      <c r="H48" s="639"/>
      <c r="I48" s="794"/>
      <c r="J48" s="794"/>
      <c r="K48" s="179"/>
      <c r="L48" s="961">
        <v>46023</v>
      </c>
      <c r="M48" s="640">
        <f t="shared" si="61"/>
        <v>46023</v>
      </c>
      <c r="N48" s="629" t="s">
        <v>23</v>
      </c>
      <c r="O48" s="630" t="s">
        <v>140</v>
      </c>
      <c r="P48" s="630" t="s">
        <v>697</v>
      </c>
      <c r="Q48" s="631" t="s">
        <v>121</v>
      </c>
      <c r="R48" s="976"/>
      <c r="S48" s="634">
        <v>320</v>
      </c>
      <c r="T48" s="808">
        <f t="shared" ref="T48:T60" si="62">S48</f>
        <v>320</v>
      </c>
      <c r="U48" s="632"/>
      <c r="V48" s="977">
        <v>46023</v>
      </c>
      <c r="W48" s="641">
        <f t="shared" si="9"/>
        <v>46023</v>
      </c>
      <c r="X48" s="633">
        <f t="shared" ref="X48:X50" si="63">T48+U48</f>
        <v>320</v>
      </c>
      <c r="Y48" s="634">
        <f t="shared" ref="Y48:Y50" si="64">S48-X48</f>
        <v>0</v>
      </c>
      <c r="Z48" s="644" t="s">
        <v>12</v>
      </c>
      <c r="AA48" s="635" t="str">
        <f t="shared" ref="AA48:AA50" si="65">G48</f>
        <v>SHARE HOLDER</v>
      </c>
      <c r="AB48" s="636" t="str">
        <f t="shared" ref="AB48:AB50" si="66">IF(Y48&gt;0,"PENDING EXECUTION","COMPLETED")</f>
        <v>COMPLETED</v>
      </c>
      <c r="AC48" s="809"/>
      <c r="AD48" s="642"/>
      <c r="AE48" s="643">
        <f t="shared" si="14"/>
        <v>0</v>
      </c>
      <c r="AF48" s="179"/>
      <c r="AG48" s="180">
        <f t="shared" si="15"/>
        <v>0</v>
      </c>
      <c r="AH48" s="181">
        <f t="shared" si="16"/>
        <v>320</v>
      </c>
      <c r="AI48" s="179" t="s">
        <v>23</v>
      </c>
    </row>
    <row r="49" spans="1:35" s="172" customFormat="1" ht="56" hidden="1" customHeight="1" x14ac:dyDescent="0.25">
      <c r="A49" s="316"/>
      <c r="B49" s="371"/>
      <c r="C49" s="627" t="str">
        <f t="shared" si="18"/>
        <v>26/1/</v>
      </c>
      <c r="D49" s="628" t="s">
        <v>193</v>
      </c>
      <c r="E49" s="372" t="s">
        <v>143</v>
      </c>
      <c r="F49" s="372" t="s">
        <v>144</v>
      </c>
      <c r="G49" s="638" t="s">
        <v>24</v>
      </c>
      <c r="H49" s="639"/>
      <c r="I49" s="794"/>
      <c r="J49" s="794"/>
      <c r="K49" s="179"/>
      <c r="L49" s="810">
        <v>46024</v>
      </c>
      <c r="M49" s="640">
        <f t="shared" si="61"/>
        <v>46024</v>
      </c>
      <c r="N49" s="629" t="s">
        <v>23</v>
      </c>
      <c r="O49" s="630" t="s">
        <v>140</v>
      </c>
      <c r="P49" s="630" t="s">
        <v>697</v>
      </c>
      <c r="Q49" s="631" t="s">
        <v>121</v>
      </c>
      <c r="R49" s="976"/>
      <c r="S49" s="634">
        <v>8000</v>
      </c>
      <c r="T49" s="808">
        <f t="shared" si="62"/>
        <v>8000</v>
      </c>
      <c r="U49" s="632"/>
      <c r="V49" s="811">
        <v>46024</v>
      </c>
      <c r="W49" s="641">
        <f t="shared" si="9"/>
        <v>46024</v>
      </c>
      <c r="X49" s="633">
        <f t="shared" si="63"/>
        <v>8000</v>
      </c>
      <c r="Y49" s="634">
        <f t="shared" si="64"/>
        <v>0</v>
      </c>
      <c r="Z49" s="644" t="s">
        <v>12</v>
      </c>
      <c r="AA49" s="635" t="str">
        <f t="shared" si="65"/>
        <v>SHARE HOLDER</v>
      </c>
      <c r="AB49" s="636" t="str">
        <f t="shared" si="66"/>
        <v>COMPLETED</v>
      </c>
      <c r="AC49" s="637"/>
      <c r="AD49" s="642"/>
      <c r="AE49" s="643">
        <f t="shared" si="14"/>
        <v>0</v>
      </c>
      <c r="AF49" s="179"/>
      <c r="AG49" s="180">
        <f t="shared" si="15"/>
        <v>0</v>
      </c>
      <c r="AH49" s="181">
        <f t="shared" si="16"/>
        <v>8000</v>
      </c>
      <c r="AI49" s="179" t="s">
        <v>23</v>
      </c>
    </row>
    <row r="50" spans="1:35" s="172" customFormat="1" ht="56" hidden="1" customHeight="1" x14ac:dyDescent="0.25">
      <c r="A50" s="316"/>
      <c r="B50" s="371"/>
      <c r="C50" s="627" t="str">
        <f t="shared" si="18"/>
        <v>26/1/</v>
      </c>
      <c r="D50" s="628" t="s">
        <v>194</v>
      </c>
      <c r="E50" s="372" t="s">
        <v>143</v>
      </c>
      <c r="F50" s="372" t="s">
        <v>144</v>
      </c>
      <c r="G50" s="638" t="s">
        <v>24</v>
      </c>
      <c r="H50" s="812"/>
      <c r="I50" s="794"/>
      <c r="J50" s="794"/>
      <c r="K50" s="179"/>
      <c r="L50" s="810">
        <v>46026</v>
      </c>
      <c r="M50" s="640">
        <f t="shared" si="61"/>
        <v>46026</v>
      </c>
      <c r="N50" s="629" t="s">
        <v>23</v>
      </c>
      <c r="O50" s="630" t="s">
        <v>140</v>
      </c>
      <c r="P50" s="630" t="s">
        <v>697</v>
      </c>
      <c r="Q50" s="631" t="s">
        <v>121</v>
      </c>
      <c r="R50" s="813"/>
      <c r="S50" s="634">
        <v>1000</v>
      </c>
      <c r="T50" s="808">
        <f t="shared" si="62"/>
        <v>1000</v>
      </c>
      <c r="U50" s="632"/>
      <c r="V50" s="811">
        <v>46026</v>
      </c>
      <c r="W50" s="641">
        <f t="shared" si="9"/>
        <v>46026</v>
      </c>
      <c r="X50" s="633">
        <f t="shared" si="63"/>
        <v>1000</v>
      </c>
      <c r="Y50" s="634">
        <f t="shared" si="64"/>
        <v>0</v>
      </c>
      <c r="Z50" s="644" t="s">
        <v>12</v>
      </c>
      <c r="AA50" s="635" t="str">
        <f t="shared" si="65"/>
        <v>SHARE HOLDER</v>
      </c>
      <c r="AB50" s="636" t="str">
        <f t="shared" si="66"/>
        <v>COMPLETED</v>
      </c>
      <c r="AC50" s="809"/>
      <c r="AD50" s="642"/>
      <c r="AE50" s="643">
        <f t="shared" si="14"/>
        <v>0</v>
      </c>
      <c r="AF50" s="179"/>
      <c r="AG50" s="180">
        <f t="shared" si="15"/>
        <v>0</v>
      </c>
      <c r="AH50" s="181">
        <f t="shared" si="16"/>
        <v>1000</v>
      </c>
      <c r="AI50" s="179" t="s">
        <v>23</v>
      </c>
    </row>
    <row r="51" spans="1:35" s="172" customFormat="1" ht="56" customHeight="1" x14ac:dyDescent="0.25">
      <c r="A51" s="316"/>
      <c r="B51" s="371"/>
      <c r="C51" s="627" t="str">
        <f t="shared" si="18"/>
        <v>26/1/</v>
      </c>
      <c r="D51" s="628" t="s">
        <v>195</v>
      </c>
      <c r="E51" s="372" t="s">
        <v>143</v>
      </c>
      <c r="F51" s="372" t="s">
        <v>144</v>
      </c>
      <c r="G51" s="638" t="s">
        <v>24</v>
      </c>
      <c r="H51" s="812"/>
      <c r="I51" s="794"/>
      <c r="J51" s="794"/>
      <c r="K51" s="179"/>
      <c r="L51" s="810">
        <v>46024</v>
      </c>
      <c r="M51" s="640">
        <f>L51</f>
        <v>46024</v>
      </c>
      <c r="N51" s="797" t="s">
        <v>706</v>
      </c>
      <c r="O51" s="630" t="s">
        <v>780</v>
      </c>
      <c r="P51" s="630" t="s">
        <v>699</v>
      </c>
      <c r="Q51" s="631" t="s">
        <v>121</v>
      </c>
      <c r="R51" s="813">
        <v>5921</v>
      </c>
      <c r="S51" s="634">
        <v>673.71</v>
      </c>
      <c r="T51" s="808">
        <f t="shared" si="62"/>
        <v>673.71</v>
      </c>
      <c r="U51" s="632"/>
      <c r="V51" s="811">
        <v>46024</v>
      </c>
      <c r="W51" s="641">
        <f t="shared" ref="W51:W75" si="67">V51</f>
        <v>46024</v>
      </c>
      <c r="X51" s="633">
        <f t="shared" si="10"/>
        <v>673.71</v>
      </c>
      <c r="Y51" s="634">
        <f t="shared" si="11"/>
        <v>0</v>
      </c>
      <c r="Z51" s="644" t="s">
        <v>13</v>
      </c>
      <c r="AA51" s="635" t="str">
        <f t="shared" si="60"/>
        <v>SHARE HOLDER</v>
      </c>
      <c r="AB51" s="636" t="str">
        <f t="shared" si="13"/>
        <v>COMPLETED</v>
      </c>
      <c r="AC51" s="809"/>
      <c r="AD51" s="642"/>
      <c r="AE51" s="643">
        <f t="shared" ref="AE51:AE80" si="68">IF(AA51=$AD$5,S51,0)</f>
        <v>0</v>
      </c>
      <c r="AF51" s="179"/>
      <c r="AG51" s="180">
        <f t="shared" ref="AG51:AG80" si="69">IF(Z51=$AG$5,X51,0)</f>
        <v>0</v>
      </c>
      <c r="AH51" s="181">
        <f t="shared" ref="AH51:AH80" si="70">IF(AA51=$AH$5,X51,0)</f>
        <v>673.71</v>
      </c>
      <c r="AI51" s="179" t="s">
        <v>23</v>
      </c>
    </row>
    <row r="52" spans="1:35" s="172" customFormat="1" ht="56" hidden="1" customHeight="1" x14ac:dyDescent="0.25">
      <c r="A52" s="316"/>
      <c r="B52" s="371"/>
      <c r="C52" s="627" t="str">
        <f t="shared" si="18"/>
        <v>26/1/</v>
      </c>
      <c r="D52" s="628" t="s">
        <v>196</v>
      </c>
      <c r="E52" s="372" t="s">
        <v>143</v>
      </c>
      <c r="F52" s="372" t="s">
        <v>144</v>
      </c>
      <c r="G52" s="638" t="s">
        <v>39</v>
      </c>
      <c r="H52" s="639"/>
      <c r="I52" s="794"/>
      <c r="J52" s="794"/>
      <c r="K52" s="179"/>
      <c r="L52" s="810">
        <v>46024</v>
      </c>
      <c r="M52" s="640">
        <f t="shared" ref="M52" si="71">L52</f>
        <v>46024</v>
      </c>
      <c r="N52" s="629" t="s">
        <v>43</v>
      </c>
      <c r="O52" s="795" t="s">
        <v>609</v>
      </c>
      <c r="P52" s="795" t="s">
        <v>96</v>
      </c>
      <c r="Q52" s="796" t="s">
        <v>96</v>
      </c>
      <c r="R52" s="813"/>
      <c r="S52" s="634">
        <v>20.21</v>
      </c>
      <c r="T52" s="808">
        <f t="shared" si="62"/>
        <v>20.21</v>
      </c>
      <c r="U52" s="632"/>
      <c r="V52" s="811">
        <v>46024</v>
      </c>
      <c r="W52" s="641">
        <f t="shared" si="67"/>
        <v>46024</v>
      </c>
      <c r="X52" s="633">
        <f t="shared" si="10"/>
        <v>20.21</v>
      </c>
      <c r="Y52" s="634">
        <f t="shared" si="11"/>
        <v>0</v>
      </c>
      <c r="Z52" s="644" t="s">
        <v>42</v>
      </c>
      <c r="AA52" s="635" t="str">
        <f t="shared" si="60"/>
        <v>RABONA</v>
      </c>
      <c r="AB52" s="636" t="str">
        <f t="shared" si="13"/>
        <v>COMPLETED</v>
      </c>
      <c r="AC52" s="637"/>
      <c r="AD52" s="642"/>
      <c r="AE52" s="643">
        <f t="shared" si="68"/>
        <v>0</v>
      </c>
      <c r="AF52" s="179"/>
      <c r="AG52" s="180">
        <f t="shared" si="69"/>
        <v>0</v>
      </c>
      <c r="AH52" s="181">
        <f t="shared" si="70"/>
        <v>0</v>
      </c>
      <c r="AI52" s="179"/>
    </row>
    <row r="53" spans="1:35" s="172" customFormat="1" ht="56" hidden="1" customHeight="1" x14ac:dyDescent="0.25">
      <c r="A53" s="316"/>
      <c r="B53" s="371"/>
      <c r="C53" s="627" t="str">
        <f t="shared" si="18"/>
        <v>26/1/</v>
      </c>
      <c r="D53" s="628" t="s">
        <v>197</v>
      </c>
      <c r="E53" s="372" t="s">
        <v>143</v>
      </c>
      <c r="F53" s="372" t="s">
        <v>144</v>
      </c>
      <c r="G53" s="638" t="s">
        <v>39</v>
      </c>
      <c r="H53" s="639" t="s">
        <v>753</v>
      </c>
      <c r="I53" s="794"/>
      <c r="J53" s="794"/>
      <c r="K53" s="179"/>
      <c r="L53" s="810">
        <v>46031</v>
      </c>
      <c r="M53" s="640">
        <f>L53</f>
        <v>46031</v>
      </c>
      <c r="N53" s="797" t="s">
        <v>601</v>
      </c>
      <c r="O53" s="630" t="s">
        <v>608</v>
      </c>
      <c r="P53" s="630" t="s">
        <v>61</v>
      </c>
      <c r="Q53" s="631" t="s">
        <v>115</v>
      </c>
      <c r="R53" s="813"/>
      <c r="S53" s="634">
        <v>1136.23</v>
      </c>
      <c r="T53" s="808">
        <f t="shared" si="62"/>
        <v>1136.23</v>
      </c>
      <c r="U53" s="632"/>
      <c r="V53" s="811">
        <v>46031</v>
      </c>
      <c r="W53" s="641">
        <f t="shared" si="67"/>
        <v>46031</v>
      </c>
      <c r="X53" s="633">
        <f t="shared" si="10"/>
        <v>1136.23</v>
      </c>
      <c r="Y53" s="634">
        <f t="shared" si="11"/>
        <v>0</v>
      </c>
      <c r="Z53" s="644" t="s">
        <v>12</v>
      </c>
      <c r="AA53" s="635" t="str">
        <f t="shared" si="60"/>
        <v>RABONA</v>
      </c>
      <c r="AB53" s="636" t="str">
        <f t="shared" si="13"/>
        <v>COMPLETED</v>
      </c>
      <c r="AC53" s="637"/>
      <c r="AD53" s="642"/>
      <c r="AE53" s="643">
        <f t="shared" si="68"/>
        <v>0</v>
      </c>
      <c r="AF53" s="179"/>
      <c r="AG53" s="180">
        <f t="shared" si="69"/>
        <v>0</v>
      </c>
      <c r="AH53" s="181">
        <f t="shared" si="70"/>
        <v>0</v>
      </c>
      <c r="AI53" s="179"/>
    </row>
    <row r="54" spans="1:35" s="172" customFormat="1" ht="56" hidden="1" customHeight="1" x14ac:dyDescent="0.25">
      <c r="A54" s="316"/>
      <c r="B54" s="371"/>
      <c r="C54" s="627" t="str">
        <f t="shared" si="18"/>
        <v>26/1/</v>
      </c>
      <c r="D54" s="628" t="s">
        <v>198</v>
      </c>
      <c r="E54" s="372" t="s">
        <v>143</v>
      </c>
      <c r="F54" s="372" t="s">
        <v>144</v>
      </c>
      <c r="G54" s="638" t="s">
        <v>39</v>
      </c>
      <c r="H54" s="812"/>
      <c r="I54" s="794"/>
      <c r="J54" s="978"/>
      <c r="K54" s="979"/>
      <c r="L54" s="810">
        <v>45982</v>
      </c>
      <c r="M54" s="640">
        <f t="shared" si="30"/>
        <v>45982</v>
      </c>
      <c r="N54" s="629" t="s">
        <v>708</v>
      </c>
      <c r="O54" s="795" t="s">
        <v>709</v>
      </c>
      <c r="P54" s="795" t="s">
        <v>707</v>
      </c>
      <c r="Q54" s="796" t="s">
        <v>59</v>
      </c>
      <c r="R54" s="813"/>
      <c r="S54" s="634">
        <v>5000</v>
      </c>
      <c r="T54" s="808">
        <f t="shared" si="62"/>
        <v>5000</v>
      </c>
      <c r="U54" s="632"/>
      <c r="V54" s="811">
        <v>45985</v>
      </c>
      <c r="W54" s="641">
        <f t="shared" si="67"/>
        <v>45985</v>
      </c>
      <c r="X54" s="633">
        <f t="shared" si="10"/>
        <v>5000</v>
      </c>
      <c r="Y54" s="634">
        <f t="shared" si="11"/>
        <v>0</v>
      </c>
      <c r="Z54" s="644" t="s">
        <v>12</v>
      </c>
      <c r="AA54" s="635" t="str">
        <f t="shared" si="60"/>
        <v>RABONA</v>
      </c>
      <c r="AB54" s="636" t="str">
        <f t="shared" si="13"/>
        <v>COMPLETED</v>
      </c>
      <c r="AC54" s="637"/>
      <c r="AD54" s="642"/>
      <c r="AE54" s="643">
        <f t="shared" si="68"/>
        <v>0</v>
      </c>
      <c r="AF54" s="179"/>
      <c r="AG54" s="180">
        <f t="shared" si="69"/>
        <v>0</v>
      </c>
      <c r="AH54" s="181">
        <f t="shared" si="70"/>
        <v>0</v>
      </c>
      <c r="AI54" s="179"/>
    </row>
    <row r="55" spans="1:35" s="172" customFormat="1" ht="56" hidden="1" customHeight="1" x14ac:dyDescent="0.25">
      <c r="A55" s="316"/>
      <c r="B55" s="371"/>
      <c r="C55" s="627" t="str">
        <f t="shared" si="18"/>
        <v>26/1/</v>
      </c>
      <c r="D55" s="628" t="s">
        <v>199</v>
      </c>
      <c r="E55" s="372" t="s">
        <v>143</v>
      </c>
      <c r="F55" s="372" t="s">
        <v>144</v>
      </c>
      <c r="G55" s="638" t="s">
        <v>39</v>
      </c>
      <c r="H55" s="812"/>
      <c r="I55" s="794"/>
      <c r="J55" s="794"/>
      <c r="K55" s="179"/>
      <c r="L55" s="810">
        <v>46035</v>
      </c>
      <c r="M55" s="640">
        <f t="shared" si="30"/>
        <v>46035</v>
      </c>
      <c r="N55" s="797" t="s">
        <v>711</v>
      </c>
      <c r="O55" s="630" t="s">
        <v>710</v>
      </c>
      <c r="P55" s="630" t="s">
        <v>85</v>
      </c>
      <c r="Q55" s="631" t="s">
        <v>77</v>
      </c>
      <c r="R55" s="813"/>
      <c r="S55" s="634">
        <v>500</v>
      </c>
      <c r="T55" s="808">
        <f t="shared" si="62"/>
        <v>500</v>
      </c>
      <c r="U55" s="632"/>
      <c r="V55" s="811">
        <v>46035</v>
      </c>
      <c r="W55" s="641">
        <f t="shared" si="67"/>
        <v>46035</v>
      </c>
      <c r="X55" s="633">
        <f t="shared" si="10"/>
        <v>500</v>
      </c>
      <c r="Y55" s="634">
        <f t="shared" si="11"/>
        <v>0</v>
      </c>
      <c r="Z55" s="644" t="s">
        <v>12</v>
      </c>
      <c r="AA55" s="635" t="str">
        <f t="shared" si="60"/>
        <v>RABONA</v>
      </c>
      <c r="AB55" s="636" t="str">
        <f t="shared" si="13"/>
        <v>COMPLETED</v>
      </c>
      <c r="AC55" s="980"/>
      <c r="AD55" s="642"/>
      <c r="AE55" s="643">
        <f t="shared" si="68"/>
        <v>0</v>
      </c>
      <c r="AF55" s="179"/>
      <c r="AG55" s="180">
        <f t="shared" si="69"/>
        <v>0</v>
      </c>
      <c r="AH55" s="181">
        <f t="shared" si="70"/>
        <v>0</v>
      </c>
      <c r="AI55" s="179"/>
    </row>
    <row r="56" spans="1:35" s="172" customFormat="1" ht="56" hidden="1" customHeight="1" x14ac:dyDescent="0.25">
      <c r="A56" s="316"/>
      <c r="B56" s="981"/>
      <c r="C56" s="982" t="str">
        <f t="shared" si="18"/>
        <v>26/1/</v>
      </c>
      <c r="D56" s="628" t="s">
        <v>200</v>
      </c>
      <c r="E56" s="372" t="s">
        <v>143</v>
      </c>
      <c r="F56" s="372" t="s">
        <v>144</v>
      </c>
      <c r="G56" s="638" t="s">
        <v>39</v>
      </c>
      <c r="H56" s="639"/>
      <c r="I56" s="794"/>
      <c r="J56" s="794"/>
      <c r="K56" s="179"/>
      <c r="L56" s="810">
        <v>46046</v>
      </c>
      <c r="M56" s="640">
        <f t="shared" si="30"/>
        <v>46046</v>
      </c>
      <c r="N56" s="797" t="s">
        <v>711</v>
      </c>
      <c r="O56" s="630" t="s">
        <v>710</v>
      </c>
      <c r="P56" s="630" t="s">
        <v>85</v>
      </c>
      <c r="Q56" s="631" t="s">
        <v>77</v>
      </c>
      <c r="R56" s="813"/>
      <c r="S56" s="634">
        <v>1000</v>
      </c>
      <c r="T56" s="808">
        <f>S56</f>
        <v>1000</v>
      </c>
      <c r="U56" s="632"/>
      <c r="V56" s="811">
        <v>46041</v>
      </c>
      <c r="W56" s="641">
        <f t="shared" si="67"/>
        <v>46041</v>
      </c>
      <c r="X56" s="633">
        <f t="shared" si="10"/>
        <v>1000</v>
      </c>
      <c r="Y56" s="634">
        <f t="shared" si="11"/>
        <v>0</v>
      </c>
      <c r="Z56" s="644" t="s">
        <v>12</v>
      </c>
      <c r="AA56" s="635" t="str">
        <f t="shared" si="60"/>
        <v>RABONA</v>
      </c>
      <c r="AB56" s="636" t="str">
        <f t="shared" si="13"/>
        <v>COMPLETED</v>
      </c>
      <c r="AC56" s="809"/>
      <c r="AD56" s="642"/>
      <c r="AE56" s="643">
        <f t="shared" si="68"/>
        <v>0</v>
      </c>
      <c r="AF56" s="179"/>
      <c r="AG56" s="180">
        <f t="shared" si="69"/>
        <v>0</v>
      </c>
      <c r="AH56" s="181">
        <f t="shared" si="70"/>
        <v>0</v>
      </c>
      <c r="AI56" s="179"/>
    </row>
    <row r="57" spans="1:35" s="172" customFormat="1" ht="56" hidden="1" customHeight="1" x14ac:dyDescent="0.25">
      <c r="A57" s="316" t="s">
        <v>543</v>
      </c>
      <c r="B57" s="981"/>
      <c r="C57" s="982" t="str">
        <f t="shared" si="18"/>
        <v>26/1/</v>
      </c>
      <c r="D57" s="628" t="s">
        <v>201</v>
      </c>
      <c r="E57" s="372" t="s">
        <v>143</v>
      </c>
      <c r="F57" s="372" t="s">
        <v>144</v>
      </c>
      <c r="G57" s="638" t="s">
        <v>39</v>
      </c>
      <c r="H57" s="812"/>
      <c r="I57" s="794"/>
      <c r="J57" s="794"/>
      <c r="K57" s="179"/>
      <c r="L57" s="810">
        <v>46046</v>
      </c>
      <c r="M57" s="640">
        <f t="shared" si="30"/>
        <v>46046</v>
      </c>
      <c r="N57" s="797" t="s">
        <v>711</v>
      </c>
      <c r="O57" s="630" t="s">
        <v>710</v>
      </c>
      <c r="P57" s="630" t="s">
        <v>85</v>
      </c>
      <c r="Q57" s="631" t="s">
        <v>77</v>
      </c>
      <c r="R57" s="813"/>
      <c r="S57" s="634">
        <v>500</v>
      </c>
      <c r="T57" s="808">
        <f t="shared" si="62"/>
        <v>500</v>
      </c>
      <c r="U57" s="632"/>
      <c r="V57" s="811">
        <v>46041</v>
      </c>
      <c r="W57" s="641">
        <f t="shared" si="67"/>
        <v>46041</v>
      </c>
      <c r="X57" s="633">
        <f t="shared" si="10"/>
        <v>500</v>
      </c>
      <c r="Y57" s="634">
        <f t="shared" si="11"/>
        <v>0</v>
      </c>
      <c r="Z57" s="644" t="s">
        <v>12</v>
      </c>
      <c r="AA57" s="635" t="str">
        <f t="shared" si="60"/>
        <v>RABONA</v>
      </c>
      <c r="AB57" s="636" t="str">
        <f t="shared" si="13"/>
        <v>COMPLETED</v>
      </c>
      <c r="AC57" s="809"/>
      <c r="AD57" s="642"/>
      <c r="AE57" s="643">
        <f t="shared" si="68"/>
        <v>0</v>
      </c>
      <c r="AF57" s="179"/>
      <c r="AG57" s="180">
        <f t="shared" si="69"/>
        <v>0</v>
      </c>
      <c r="AH57" s="181">
        <f t="shared" si="70"/>
        <v>0</v>
      </c>
      <c r="AI57" s="179"/>
    </row>
    <row r="58" spans="1:35" s="172" customFormat="1" ht="56" hidden="1" customHeight="1" x14ac:dyDescent="0.25">
      <c r="A58" s="316" t="s">
        <v>133</v>
      </c>
      <c r="B58" s="981"/>
      <c r="C58" s="982" t="str">
        <f>C57</f>
        <v>26/1/</v>
      </c>
      <c r="D58" s="628" t="s">
        <v>202</v>
      </c>
      <c r="E58" s="372" t="s">
        <v>143</v>
      </c>
      <c r="F58" s="372" t="s">
        <v>144</v>
      </c>
      <c r="G58" s="638" t="s">
        <v>39</v>
      </c>
      <c r="H58" s="812"/>
      <c r="I58" s="794"/>
      <c r="J58" s="794"/>
      <c r="K58" s="979"/>
      <c r="L58" s="810">
        <v>46051</v>
      </c>
      <c r="M58" s="640">
        <f t="shared" si="30"/>
        <v>46051</v>
      </c>
      <c r="N58" s="797" t="s">
        <v>712</v>
      </c>
      <c r="O58" s="630" t="s">
        <v>713</v>
      </c>
      <c r="P58" s="630" t="s">
        <v>66</v>
      </c>
      <c r="Q58" s="631" t="s">
        <v>65</v>
      </c>
      <c r="R58" s="813"/>
      <c r="S58" s="634">
        <v>1844.5</v>
      </c>
      <c r="T58" s="808">
        <f>S58</f>
        <v>1844.5</v>
      </c>
      <c r="U58" s="632"/>
      <c r="V58" s="811">
        <v>46030</v>
      </c>
      <c r="W58" s="641">
        <f t="shared" si="67"/>
        <v>46030</v>
      </c>
      <c r="X58" s="633">
        <f t="shared" si="10"/>
        <v>1844.5</v>
      </c>
      <c r="Y58" s="634">
        <f t="shared" si="11"/>
        <v>0</v>
      </c>
      <c r="Z58" s="644" t="s">
        <v>12</v>
      </c>
      <c r="AA58" s="635" t="str">
        <f t="shared" si="60"/>
        <v>RABONA</v>
      </c>
      <c r="AB58" s="636" t="str">
        <f t="shared" si="13"/>
        <v>COMPLETED</v>
      </c>
      <c r="AC58" s="637"/>
      <c r="AD58" s="642"/>
      <c r="AE58" s="643">
        <f t="shared" si="68"/>
        <v>0</v>
      </c>
      <c r="AF58" s="179"/>
      <c r="AG58" s="180">
        <f t="shared" si="69"/>
        <v>0</v>
      </c>
      <c r="AH58" s="181">
        <f t="shared" si="70"/>
        <v>0</v>
      </c>
      <c r="AI58" s="179"/>
    </row>
    <row r="59" spans="1:35" s="172" customFormat="1" ht="56" hidden="1" customHeight="1" x14ac:dyDescent="0.25">
      <c r="A59" s="316"/>
      <c r="B59" s="981"/>
      <c r="C59" s="982" t="str">
        <f>C58</f>
        <v>26/1/</v>
      </c>
      <c r="D59" s="628" t="s">
        <v>203</v>
      </c>
      <c r="E59" s="372" t="s">
        <v>143</v>
      </c>
      <c r="F59" s="372" t="s">
        <v>144</v>
      </c>
      <c r="G59" s="638" t="s">
        <v>39</v>
      </c>
      <c r="H59" s="639"/>
      <c r="I59" s="794"/>
      <c r="J59" s="794"/>
      <c r="K59" s="179"/>
      <c r="L59" s="810">
        <v>46052</v>
      </c>
      <c r="M59" s="640">
        <f>L59</f>
        <v>46052</v>
      </c>
      <c r="N59" s="629" t="s">
        <v>714</v>
      </c>
      <c r="O59" s="630" t="s">
        <v>715</v>
      </c>
      <c r="P59" s="983" t="s">
        <v>91</v>
      </c>
      <c r="Q59" s="984" t="s">
        <v>90</v>
      </c>
      <c r="R59" s="813"/>
      <c r="S59" s="634">
        <v>866.59</v>
      </c>
      <c r="T59" s="808">
        <f t="shared" si="62"/>
        <v>866.59</v>
      </c>
      <c r="U59" s="632"/>
      <c r="V59" s="811">
        <v>46052</v>
      </c>
      <c r="W59" s="641">
        <f t="shared" si="67"/>
        <v>46052</v>
      </c>
      <c r="X59" s="633">
        <f t="shared" si="10"/>
        <v>866.59</v>
      </c>
      <c r="Y59" s="634">
        <f t="shared" si="11"/>
        <v>0</v>
      </c>
      <c r="Z59" s="644" t="s">
        <v>12</v>
      </c>
      <c r="AA59" s="635" t="str">
        <f t="shared" si="60"/>
        <v>RABONA</v>
      </c>
      <c r="AB59" s="636" t="str">
        <f t="shared" si="13"/>
        <v>COMPLETED</v>
      </c>
      <c r="AC59" s="637"/>
      <c r="AD59" s="642"/>
      <c r="AE59" s="643">
        <f t="shared" si="68"/>
        <v>0</v>
      </c>
      <c r="AF59" s="179"/>
      <c r="AG59" s="180">
        <f t="shared" si="69"/>
        <v>0</v>
      </c>
      <c r="AH59" s="181">
        <f t="shared" si="70"/>
        <v>0</v>
      </c>
      <c r="AI59" s="179"/>
    </row>
    <row r="60" spans="1:35" s="172" customFormat="1" ht="56" hidden="1" customHeight="1" x14ac:dyDescent="0.25">
      <c r="A60" s="316"/>
      <c r="B60" s="981"/>
      <c r="C60" s="982" t="str">
        <f t="shared" si="18"/>
        <v>26/1/</v>
      </c>
      <c r="D60" s="628" t="s">
        <v>204</v>
      </c>
      <c r="E60" s="372" t="s">
        <v>143</v>
      </c>
      <c r="F60" s="372" t="s">
        <v>144</v>
      </c>
      <c r="G60" s="638" t="s">
        <v>39</v>
      </c>
      <c r="H60" s="812"/>
      <c r="I60" s="794"/>
      <c r="J60" s="985"/>
      <c r="K60" s="986"/>
      <c r="L60" s="810">
        <v>46052</v>
      </c>
      <c r="M60" s="640">
        <f>L60</f>
        <v>46052</v>
      </c>
      <c r="N60" s="629" t="s">
        <v>708</v>
      </c>
      <c r="O60" s="795" t="s">
        <v>709</v>
      </c>
      <c r="P60" s="795" t="s">
        <v>707</v>
      </c>
      <c r="Q60" s="796" t="s">
        <v>59</v>
      </c>
      <c r="R60" s="813"/>
      <c r="S60" s="634">
        <v>3811.59</v>
      </c>
      <c r="T60" s="808">
        <f t="shared" si="62"/>
        <v>3811.59</v>
      </c>
      <c r="U60" s="632"/>
      <c r="V60" s="811">
        <f>L60</f>
        <v>46052</v>
      </c>
      <c r="W60" s="641">
        <f t="shared" si="67"/>
        <v>46052</v>
      </c>
      <c r="X60" s="633">
        <f t="shared" si="10"/>
        <v>3811.59</v>
      </c>
      <c r="Y60" s="634">
        <f t="shared" si="11"/>
        <v>0</v>
      </c>
      <c r="Z60" s="644" t="s">
        <v>12</v>
      </c>
      <c r="AA60" s="635" t="str">
        <f t="shared" si="60"/>
        <v>RABONA</v>
      </c>
      <c r="AB60" s="636" t="str">
        <f t="shared" si="13"/>
        <v>COMPLETED</v>
      </c>
      <c r="AC60" s="980"/>
      <c r="AD60" s="642"/>
      <c r="AE60" s="643">
        <f t="shared" si="68"/>
        <v>0</v>
      </c>
      <c r="AF60" s="179"/>
      <c r="AG60" s="180">
        <f t="shared" si="69"/>
        <v>0</v>
      </c>
      <c r="AH60" s="181">
        <f t="shared" si="70"/>
        <v>0</v>
      </c>
      <c r="AI60" s="179"/>
    </row>
    <row r="61" spans="1:35" s="172" customFormat="1" ht="56" hidden="1" customHeight="1" x14ac:dyDescent="0.25">
      <c r="A61" s="316"/>
      <c r="B61" s="371"/>
      <c r="C61" s="627" t="str">
        <f t="shared" si="18"/>
        <v>26/1/</v>
      </c>
      <c r="D61" s="628" t="s">
        <v>205</v>
      </c>
      <c r="E61" s="372" t="s">
        <v>143</v>
      </c>
      <c r="F61" s="372" t="s">
        <v>144</v>
      </c>
      <c r="G61" s="638" t="s">
        <v>39</v>
      </c>
      <c r="H61" s="812" t="s">
        <v>754</v>
      </c>
      <c r="I61" s="794"/>
      <c r="J61" s="794"/>
      <c r="K61" s="179"/>
      <c r="L61" s="810">
        <v>46036</v>
      </c>
      <c r="M61" s="640">
        <f>L61</f>
        <v>46036</v>
      </c>
      <c r="N61" s="629" t="s">
        <v>40</v>
      </c>
      <c r="O61" s="795" t="s">
        <v>721</v>
      </c>
      <c r="P61" s="795" t="s">
        <v>60</v>
      </c>
      <c r="Q61" s="796" t="s">
        <v>115</v>
      </c>
      <c r="R61" s="813"/>
      <c r="S61" s="634">
        <v>7</v>
      </c>
      <c r="T61" s="808">
        <f t="shared" ref="T61:T72" si="72">S61</f>
        <v>7</v>
      </c>
      <c r="U61" s="632"/>
      <c r="V61" s="811">
        <v>46038</v>
      </c>
      <c r="W61" s="641">
        <f t="shared" si="67"/>
        <v>46038</v>
      </c>
      <c r="X61" s="633">
        <f t="shared" si="10"/>
        <v>7</v>
      </c>
      <c r="Y61" s="634">
        <f t="shared" si="11"/>
        <v>0</v>
      </c>
      <c r="Z61" s="644" t="s">
        <v>13</v>
      </c>
      <c r="AA61" s="635" t="str">
        <f t="shared" si="60"/>
        <v>RABONA</v>
      </c>
      <c r="AB61" s="636" t="str">
        <f t="shared" si="13"/>
        <v>COMPLETED</v>
      </c>
      <c r="AC61" s="809"/>
      <c r="AD61" s="642"/>
      <c r="AE61" s="643">
        <f t="shared" si="68"/>
        <v>0</v>
      </c>
      <c r="AF61" s="179"/>
      <c r="AG61" s="180">
        <f t="shared" si="69"/>
        <v>0</v>
      </c>
      <c r="AH61" s="181">
        <f t="shared" si="70"/>
        <v>0</v>
      </c>
      <c r="AI61" s="179"/>
    </row>
    <row r="62" spans="1:35" s="172" customFormat="1" ht="56" hidden="1" customHeight="1" x14ac:dyDescent="0.25">
      <c r="A62" s="316"/>
      <c r="B62" s="371"/>
      <c r="C62" s="627" t="str">
        <f t="shared" si="18"/>
        <v>26/1/</v>
      </c>
      <c r="D62" s="628" t="s">
        <v>206</v>
      </c>
      <c r="E62" s="372" t="s">
        <v>143</v>
      </c>
      <c r="F62" s="372" t="s">
        <v>144</v>
      </c>
      <c r="G62" s="638" t="s">
        <v>39</v>
      </c>
      <c r="H62" s="639" t="s">
        <v>755</v>
      </c>
      <c r="I62" s="794"/>
      <c r="J62" s="794"/>
      <c r="K62" s="179"/>
      <c r="L62" s="810">
        <v>46036</v>
      </c>
      <c r="M62" s="640">
        <f>L62</f>
        <v>46036</v>
      </c>
      <c r="N62" s="629" t="s">
        <v>716</v>
      </c>
      <c r="O62" s="795" t="s">
        <v>717</v>
      </c>
      <c r="P62" s="795" t="s">
        <v>61</v>
      </c>
      <c r="Q62" s="796" t="s">
        <v>115</v>
      </c>
      <c r="R62" s="987"/>
      <c r="S62" s="988">
        <v>149.63999999999999</v>
      </c>
      <c r="T62" s="808">
        <f t="shared" si="72"/>
        <v>149.63999999999999</v>
      </c>
      <c r="U62" s="632"/>
      <c r="V62" s="811">
        <v>46038</v>
      </c>
      <c r="W62" s="641">
        <f t="shared" si="67"/>
        <v>46038</v>
      </c>
      <c r="X62" s="633">
        <f t="shared" si="10"/>
        <v>149.63999999999999</v>
      </c>
      <c r="Y62" s="634">
        <f t="shared" si="11"/>
        <v>0</v>
      </c>
      <c r="Z62" s="644" t="s">
        <v>13</v>
      </c>
      <c r="AA62" s="635" t="str">
        <f t="shared" si="60"/>
        <v>RABONA</v>
      </c>
      <c r="AB62" s="636" t="str">
        <f t="shared" si="13"/>
        <v>COMPLETED</v>
      </c>
      <c r="AC62" s="809"/>
      <c r="AD62" s="642"/>
      <c r="AE62" s="643">
        <f t="shared" si="68"/>
        <v>0</v>
      </c>
      <c r="AF62" s="179"/>
      <c r="AG62" s="180">
        <f t="shared" si="69"/>
        <v>0</v>
      </c>
      <c r="AH62" s="181">
        <f t="shared" si="70"/>
        <v>0</v>
      </c>
      <c r="AI62" s="179"/>
    </row>
    <row r="63" spans="1:35" s="172" customFormat="1" ht="56" hidden="1" customHeight="1" x14ac:dyDescent="0.25">
      <c r="A63" s="316"/>
      <c r="B63" s="290"/>
      <c r="C63" s="363" t="str">
        <f t="shared" si="18"/>
        <v>26/1/</v>
      </c>
      <c r="D63" s="364" t="s">
        <v>207</v>
      </c>
      <c r="E63" s="269" t="s">
        <v>446</v>
      </c>
      <c r="F63" s="269" t="s">
        <v>144</v>
      </c>
      <c r="G63" s="312" t="s">
        <v>39</v>
      </c>
      <c r="H63" s="314" t="s">
        <v>756</v>
      </c>
      <c r="I63" s="252"/>
      <c r="J63" s="258"/>
      <c r="K63" s="814"/>
      <c r="L63" s="261">
        <v>46023</v>
      </c>
      <c r="M63" s="253">
        <f t="shared" ref="M63:M65" si="73">L63</f>
        <v>46023</v>
      </c>
      <c r="N63" s="373" t="s">
        <v>718</v>
      </c>
      <c r="O63" s="590" t="s">
        <v>62</v>
      </c>
      <c r="P63" s="590" t="s">
        <v>62</v>
      </c>
      <c r="Q63" s="591" t="s">
        <v>115</v>
      </c>
      <c r="R63" s="255">
        <v>33</v>
      </c>
      <c r="S63" s="297">
        <v>8.91</v>
      </c>
      <c r="T63" s="359">
        <f t="shared" si="72"/>
        <v>8.91</v>
      </c>
      <c r="U63" s="360"/>
      <c r="V63" s="256">
        <v>46027</v>
      </c>
      <c r="W63" s="301">
        <f t="shared" si="67"/>
        <v>46027</v>
      </c>
      <c r="X63" s="281">
        <f t="shared" si="10"/>
        <v>8.91</v>
      </c>
      <c r="Y63" s="296">
        <f t="shared" si="11"/>
        <v>0</v>
      </c>
      <c r="Z63" s="815" t="s">
        <v>447</v>
      </c>
      <c r="AA63" s="365" t="str">
        <f t="shared" si="60"/>
        <v>RABONA</v>
      </c>
      <c r="AB63" s="366" t="str">
        <f t="shared" si="13"/>
        <v>COMPLETED</v>
      </c>
      <c r="AC63" s="541"/>
      <c r="AD63" s="367"/>
      <c r="AE63" s="368">
        <f t="shared" si="68"/>
        <v>0</v>
      </c>
      <c r="AF63" s="313"/>
      <c r="AG63" s="369">
        <f t="shared" si="69"/>
        <v>0</v>
      </c>
      <c r="AH63" s="370">
        <f t="shared" si="70"/>
        <v>0</v>
      </c>
      <c r="AI63" s="313"/>
    </row>
    <row r="64" spans="1:35" s="172" customFormat="1" ht="56" hidden="1" customHeight="1" x14ac:dyDescent="0.25">
      <c r="A64" s="316"/>
      <c r="B64" s="290"/>
      <c r="C64" s="363" t="str">
        <f t="shared" si="18"/>
        <v>26/1/</v>
      </c>
      <c r="D64" s="364" t="s">
        <v>208</v>
      </c>
      <c r="E64" s="269" t="s">
        <v>446</v>
      </c>
      <c r="F64" s="269" t="s">
        <v>144</v>
      </c>
      <c r="G64" s="312" t="s">
        <v>39</v>
      </c>
      <c r="H64" s="534"/>
      <c r="I64" s="252"/>
      <c r="J64" s="252"/>
      <c r="K64" s="547"/>
      <c r="L64" s="542">
        <v>46027</v>
      </c>
      <c r="M64" s="253">
        <f>L64</f>
        <v>46027</v>
      </c>
      <c r="N64" s="535" t="s">
        <v>43</v>
      </c>
      <c r="O64" s="259" t="s">
        <v>609</v>
      </c>
      <c r="P64" s="590" t="s">
        <v>96</v>
      </c>
      <c r="Q64" s="591" t="s">
        <v>96</v>
      </c>
      <c r="R64" s="264"/>
      <c r="S64" s="297">
        <v>0.27</v>
      </c>
      <c r="T64" s="359">
        <f t="shared" si="72"/>
        <v>0.27</v>
      </c>
      <c r="U64" s="360"/>
      <c r="V64" s="256">
        <v>46027</v>
      </c>
      <c r="W64" s="301">
        <f t="shared" si="67"/>
        <v>46027</v>
      </c>
      <c r="X64" s="281">
        <f t="shared" si="10"/>
        <v>0.27</v>
      </c>
      <c r="Y64" s="296">
        <f t="shared" si="11"/>
        <v>0</v>
      </c>
      <c r="Z64" s="815" t="s">
        <v>42</v>
      </c>
      <c r="AA64" s="365" t="str">
        <f t="shared" si="60"/>
        <v>RABONA</v>
      </c>
      <c r="AB64" s="366" t="str">
        <f t="shared" si="13"/>
        <v>COMPLETED</v>
      </c>
      <c r="AC64" s="257"/>
      <c r="AD64" s="367"/>
      <c r="AE64" s="368">
        <f t="shared" si="68"/>
        <v>0</v>
      </c>
      <c r="AF64" s="313"/>
      <c r="AG64" s="369">
        <f t="shared" si="69"/>
        <v>0</v>
      </c>
      <c r="AH64" s="370">
        <f t="shared" si="70"/>
        <v>0</v>
      </c>
      <c r="AI64" s="313"/>
    </row>
    <row r="65" spans="1:35" s="172" customFormat="1" ht="56" hidden="1" customHeight="1" x14ac:dyDescent="0.25">
      <c r="A65" s="316"/>
      <c r="B65" s="290"/>
      <c r="C65" s="363" t="str">
        <f t="shared" si="18"/>
        <v>26/1/</v>
      </c>
      <c r="D65" s="364" t="s">
        <v>209</v>
      </c>
      <c r="E65" s="269" t="s">
        <v>446</v>
      </c>
      <c r="F65" s="269" t="s">
        <v>144</v>
      </c>
      <c r="G65" s="312" t="s">
        <v>39</v>
      </c>
      <c r="H65" s="314" t="s">
        <v>757</v>
      </c>
      <c r="I65" s="252"/>
      <c r="J65" s="252"/>
      <c r="K65" s="313"/>
      <c r="L65" s="261">
        <v>46025</v>
      </c>
      <c r="M65" s="253">
        <f t="shared" si="73"/>
        <v>46025</v>
      </c>
      <c r="N65" s="535" t="s">
        <v>719</v>
      </c>
      <c r="O65" s="590" t="s">
        <v>62</v>
      </c>
      <c r="P65" s="590" t="s">
        <v>62</v>
      </c>
      <c r="Q65" s="591" t="s">
        <v>115</v>
      </c>
      <c r="R65" s="255">
        <v>1201</v>
      </c>
      <c r="S65" s="296">
        <v>324.14</v>
      </c>
      <c r="T65" s="357">
        <f t="shared" si="72"/>
        <v>324.14</v>
      </c>
      <c r="U65" s="358"/>
      <c r="V65" s="256">
        <v>46029</v>
      </c>
      <c r="W65" s="301">
        <f t="shared" si="67"/>
        <v>46029</v>
      </c>
      <c r="X65" s="281">
        <f t="shared" si="10"/>
        <v>324.14</v>
      </c>
      <c r="Y65" s="296">
        <f t="shared" si="11"/>
        <v>0</v>
      </c>
      <c r="Z65" s="309" t="s">
        <v>447</v>
      </c>
      <c r="AA65" s="365" t="str">
        <f t="shared" si="60"/>
        <v>RABONA</v>
      </c>
      <c r="AB65" s="366" t="str">
        <f t="shared" si="13"/>
        <v>COMPLETED</v>
      </c>
      <c r="AC65" s="541"/>
      <c r="AD65" s="367"/>
      <c r="AE65" s="368">
        <f t="shared" si="68"/>
        <v>0</v>
      </c>
      <c r="AF65" s="313"/>
      <c r="AG65" s="369">
        <f t="shared" si="69"/>
        <v>0</v>
      </c>
      <c r="AH65" s="370">
        <f t="shared" si="70"/>
        <v>0</v>
      </c>
      <c r="AI65" s="313"/>
    </row>
    <row r="66" spans="1:35" s="172" customFormat="1" ht="56" hidden="1" customHeight="1" x14ac:dyDescent="0.25">
      <c r="A66" s="316"/>
      <c r="B66" s="290"/>
      <c r="C66" s="363" t="str">
        <f t="shared" si="18"/>
        <v>26/1/</v>
      </c>
      <c r="D66" s="364" t="s">
        <v>210</v>
      </c>
      <c r="E66" s="269" t="s">
        <v>446</v>
      </c>
      <c r="F66" s="269" t="s">
        <v>144</v>
      </c>
      <c r="G66" s="312" t="s">
        <v>39</v>
      </c>
      <c r="H66" s="314"/>
      <c r="I66" s="252"/>
      <c r="J66" s="252"/>
      <c r="K66" s="574"/>
      <c r="L66" s="261">
        <v>46029</v>
      </c>
      <c r="M66" s="253">
        <f t="shared" ref="M66:M71" si="74">L66</f>
        <v>46029</v>
      </c>
      <c r="N66" s="535" t="s">
        <v>43</v>
      </c>
      <c r="O66" s="259" t="s">
        <v>609</v>
      </c>
      <c r="P66" s="590" t="s">
        <v>96</v>
      </c>
      <c r="Q66" s="591" t="s">
        <v>96</v>
      </c>
      <c r="R66" s="255"/>
      <c r="S66" s="296">
        <v>9.7200000000000006</v>
      </c>
      <c r="T66" s="357">
        <f t="shared" ref="T66" si="75">S66</f>
        <v>9.7200000000000006</v>
      </c>
      <c r="U66" s="358"/>
      <c r="V66" s="256">
        <v>46029</v>
      </c>
      <c r="W66" s="301">
        <f t="shared" si="67"/>
        <v>46029</v>
      </c>
      <c r="X66" s="281">
        <f t="shared" si="10"/>
        <v>9.7200000000000006</v>
      </c>
      <c r="Y66" s="296">
        <f t="shared" si="11"/>
        <v>0</v>
      </c>
      <c r="Z66" s="309" t="s">
        <v>42</v>
      </c>
      <c r="AA66" s="365" t="str">
        <f t="shared" si="60"/>
        <v>RABONA</v>
      </c>
      <c r="AB66" s="366" t="str">
        <f t="shared" si="13"/>
        <v>COMPLETED</v>
      </c>
      <c r="AC66" s="257"/>
      <c r="AD66" s="367"/>
      <c r="AE66" s="368">
        <f t="shared" si="68"/>
        <v>0</v>
      </c>
      <c r="AF66" s="313"/>
      <c r="AG66" s="369">
        <f t="shared" si="69"/>
        <v>0</v>
      </c>
      <c r="AH66" s="370">
        <f t="shared" si="70"/>
        <v>0</v>
      </c>
      <c r="AI66" s="313"/>
    </row>
    <row r="67" spans="1:35" s="172" customFormat="1" ht="56" hidden="1" customHeight="1" x14ac:dyDescent="0.25">
      <c r="A67" s="316"/>
      <c r="B67" s="290"/>
      <c r="C67" s="363" t="str">
        <f t="shared" si="18"/>
        <v>26/1/</v>
      </c>
      <c r="D67" s="364" t="s">
        <v>211</v>
      </c>
      <c r="E67" s="269" t="s">
        <v>446</v>
      </c>
      <c r="F67" s="269" t="s">
        <v>144</v>
      </c>
      <c r="G67" s="312" t="s">
        <v>39</v>
      </c>
      <c r="H67" s="534" t="s">
        <v>758</v>
      </c>
      <c r="I67" s="252"/>
      <c r="J67" s="252"/>
      <c r="K67" s="313"/>
      <c r="L67" s="266">
        <v>46028</v>
      </c>
      <c r="M67" s="253">
        <f t="shared" si="74"/>
        <v>46028</v>
      </c>
      <c r="N67" s="535" t="s">
        <v>720</v>
      </c>
      <c r="O67" s="259" t="s">
        <v>62</v>
      </c>
      <c r="P67" s="259" t="s">
        <v>62</v>
      </c>
      <c r="Q67" s="260" t="s">
        <v>115</v>
      </c>
      <c r="R67" s="255"/>
      <c r="S67" s="296">
        <v>101.34</v>
      </c>
      <c r="T67" s="357">
        <f>S67</f>
        <v>101.34</v>
      </c>
      <c r="U67" s="358"/>
      <c r="V67" s="256">
        <v>46030</v>
      </c>
      <c r="W67" s="301">
        <f t="shared" si="67"/>
        <v>46030</v>
      </c>
      <c r="X67" s="281">
        <f t="shared" si="10"/>
        <v>101.34</v>
      </c>
      <c r="Y67" s="296">
        <f t="shared" si="11"/>
        <v>0</v>
      </c>
      <c r="Z67" s="309" t="s">
        <v>447</v>
      </c>
      <c r="AA67" s="365" t="str">
        <f t="shared" si="60"/>
        <v>RABONA</v>
      </c>
      <c r="AB67" s="366" t="str">
        <f t="shared" si="13"/>
        <v>COMPLETED</v>
      </c>
      <c r="AC67" s="257"/>
      <c r="AD67" s="367"/>
      <c r="AE67" s="368">
        <f t="shared" si="68"/>
        <v>0</v>
      </c>
      <c r="AF67" s="313"/>
      <c r="AG67" s="369">
        <f t="shared" si="69"/>
        <v>0</v>
      </c>
      <c r="AH67" s="370">
        <f t="shared" si="70"/>
        <v>0</v>
      </c>
      <c r="AI67" s="313"/>
    </row>
    <row r="68" spans="1:35" s="172" customFormat="1" ht="56" hidden="1" customHeight="1" x14ac:dyDescent="0.25">
      <c r="A68" s="316"/>
      <c r="B68" s="290"/>
      <c r="C68" s="363" t="str">
        <f t="shared" si="18"/>
        <v>26/1/</v>
      </c>
      <c r="D68" s="364" t="s">
        <v>212</v>
      </c>
      <c r="E68" s="269" t="s">
        <v>446</v>
      </c>
      <c r="F68" s="269" t="s">
        <v>144</v>
      </c>
      <c r="G68" s="312" t="s">
        <v>39</v>
      </c>
      <c r="H68" s="314" t="s">
        <v>659</v>
      </c>
      <c r="I68" s="252"/>
      <c r="J68" s="252"/>
      <c r="K68" s="313"/>
      <c r="L68" s="261">
        <v>46024</v>
      </c>
      <c r="M68" s="253">
        <f t="shared" si="74"/>
        <v>46024</v>
      </c>
      <c r="N68" s="535" t="s">
        <v>40</v>
      </c>
      <c r="O68" s="259" t="s">
        <v>723</v>
      </c>
      <c r="P68" s="590" t="s">
        <v>60</v>
      </c>
      <c r="Q68" s="591" t="s">
        <v>115</v>
      </c>
      <c r="R68" s="255"/>
      <c r="S68" s="296">
        <v>66</v>
      </c>
      <c r="T68" s="357">
        <f t="shared" si="72"/>
        <v>66</v>
      </c>
      <c r="U68" s="358"/>
      <c r="V68" s="256">
        <v>46027</v>
      </c>
      <c r="W68" s="301">
        <f t="shared" si="67"/>
        <v>46027</v>
      </c>
      <c r="X68" s="281">
        <f t="shared" si="10"/>
        <v>66</v>
      </c>
      <c r="Y68" s="296">
        <f t="shared" si="11"/>
        <v>0</v>
      </c>
      <c r="Z68" s="309" t="s">
        <v>447</v>
      </c>
      <c r="AA68" s="365" t="str">
        <f t="shared" si="60"/>
        <v>RABONA</v>
      </c>
      <c r="AB68" s="366" t="str">
        <f t="shared" si="13"/>
        <v>COMPLETED</v>
      </c>
      <c r="AC68" s="257"/>
      <c r="AD68" s="367"/>
      <c r="AE68" s="368">
        <f t="shared" si="68"/>
        <v>0</v>
      </c>
      <c r="AF68" s="617"/>
      <c r="AG68" s="369">
        <f t="shared" si="69"/>
        <v>0</v>
      </c>
      <c r="AH68" s="370">
        <f t="shared" si="70"/>
        <v>0</v>
      </c>
      <c r="AI68" s="313"/>
    </row>
    <row r="69" spans="1:35" s="172" customFormat="1" ht="56" hidden="1" customHeight="1" x14ac:dyDescent="0.25">
      <c r="A69" s="316"/>
      <c r="B69" s="290"/>
      <c r="C69" s="363" t="str">
        <f t="shared" si="18"/>
        <v>26/1/</v>
      </c>
      <c r="D69" s="364" t="s">
        <v>213</v>
      </c>
      <c r="E69" s="269" t="s">
        <v>446</v>
      </c>
      <c r="F69" s="269" t="s">
        <v>144</v>
      </c>
      <c r="G69" s="312" t="s">
        <v>39</v>
      </c>
      <c r="H69" s="314" t="s">
        <v>722</v>
      </c>
      <c r="I69" s="252"/>
      <c r="J69" s="252"/>
      <c r="K69" s="313"/>
      <c r="L69" s="261">
        <v>46025</v>
      </c>
      <c r="M69" s="253">
        <f t="shared" si="74"/>
        <v>46025</v>
      </c>
      <c r="N69" s="254" t="s">
        <v>40</v>
      </c>
      <c r="O69" s="259" t="s">
        <v>724</v>
      </c>
      <c r="P69" s="590" t="s">
        <v>60</v>
      </c>
      <c r="Q69" s="591" t="s">
        <v>115</v>
      </c>
      <c r="R69" s="255"/>
      <c r="S69" s="296">
        <v>27.76</v>
      </c>
      <c r="T69" s="357">
        <f t="shared" si="72"/>
        <v>27.76</v>
      </c>
      <c r="U69" s="358"/>
      <c r="V69" s="256">
        <v>46027</v>
      </c>
      <c r="W69" s="301">
        <f t="shared" si="67"/>
        <v>46027</v>
      </c>
      <c r="X69" s="281">
        <f t="shared" si="10"/>
        <v>27.76</v>
      </c>
      <c r="Y69" s="296">
        <f t="shared" si="11"/>
        <v>0</v>
      </c>
      <c r="Z69" s="309" t="s">
        <v>447</v>
      </c>
      <c r="AA69" s="365" t="str">
        <f t="shared" si="60"/>
        <v>RABONA</v>
      </c>
      <c r="AB69" s="366" t="str">
        <f t="shared" si="13"/>
        <v>COMPLETED</v>
      </c>
      <c r="AC69" s="257"/>
      <c r="AD69" s="367"/>
      <c r="AE69" s="368">
        <f t="shared" si="68"/>
        <v>0</v>
      </c>
      <c r="AF69" s="617"/>
      <c r="AG69" s="369">
        <f t="shared" si="69"/>
        <v>0</v>
      </c>
      <c r="AH69" s="370">
        <f t="shared" si="70"/>
        <v>0</v>
      </c>
      <c r="AI69" s="313"/>
    </row>
    <row r="70" spans="1:35" s="172" customFormat="1" ht="56" hidden="1" customHeight="1" x14ac:dyDescent="0.25">
      <c r="A70" s="316"/>
      <c r="B70" s="290"/>
      <c r="C70" s="363" t="str">
        <f t="shared" si="18"/>
        <v>26/1/</v>
      </c>
      <c r="D70" s="364" t="s">
        <v>214</v>
      </c>
      <c r="E70" s="576" t="s">
        <v>446</v>
      </c>
      <c r="F70" s="269" t="s">
        <v>144</v>
      </c>
      <c r="G70" s="312" t="s">
        <v>39</v>
      </c>
      <c r="H70" s="314" t="s">
        <v>725</v>
      </c>
      <c r="I70" s="252"/>
      <c r="J70" s="252"/>
      <c r="K70" s="313"/>
      <c r="L70" s="261">
        <v>46031</v>
      </c>
      <c r="M70" s="253">
        <f t="shared" si="74"/>
        <v>46031</v>
      </c>
      <c r="N70" s="254" t="s">
        <v>40</v>
      </c>
      <c r="O70" s="259" t="s">
        <v>726</v>
      </c>
      <c r="P70" s="590" t="s">
        <v>60</v>
      </c>
      <c r="Q70" s="591" t="s">
        <v>115</v>
      </c>
      <c r="R70" s="255"/>
      <c r="S70" s="296">
        <v>38</v>
      </c>
      <c r="T70" s="357">
        <f t="shared" si="72"/>
        <v>38</v>
      </c>
      <c r="U70" s="358"/>
      <c r="V70" s="256">
        <v>46034</v>
      </c>
      <c r="W70" s="301">
        <f t="shared" si="67"/>
        <v>46034</v>
      </c>
      <c r="X70" s="281">
        <f t="shared" si="10"/>
        <v>38</v>
      </c>
      <c r="Y70" s="296">
        <f t="shared" si="11"/>
        <v>0</v>
      </c>
      <c r="Z70" s="309" t="s">
        <v>447</v>
      </c>
      <c r="AA70" s="365" t="str">
        <f t="shared" si="60"/>
        <v>RABONA</v>
      </c>
      <c r="AB70" s="366" t="str">
        <f t="shared" si="13"/>
        <v>COMPLETED</v>
      </c>
      <c r="AC70" s="257"/>
      <c r="AD70" s="367"/>
      <c r="AE70" s="368">
        <f t="shared" si="68"/>
        <v>0</v>
      </c>
      <c r="AF70" s="699"/>
      <c r="AG70" s="369">
        <f t="shared" si="69"/>
        <v>0</v>
      </c>
      <c r="AH70" s="370">
        <f t="shared" si="70"/>
        <v>0</v>
      </c>
      <c r="AI70" s="313"/>
    </row>
    <row r="71" spans="1:35" s="172" customFormat="1" ht="56" hidden="1" customHeight="1" x14ac:dyDescent="0.25">
      <c r="A71" s="316"/>
      <c r="B71" s="290"/>
      <c r="C71" s="363" t="str">
        <f t="shared" si="18"/>
        <v>26/1/</v>
      </c>
      <c r="D71" s="364" t="s">
        <v>215</v>
      </c>
      <c r="E71" s="576" t="s">
        <v>446</v>
      </c>
      <c r="F71" s="269" t="s">
        <v>144</v>
      </c>
      <c r="G71" s="312" t="s">
        <v>39</v>
      </c>
      <c r="H71" s="314" t="s">
        <v>727</v>
      </c>
      <c r="I71" s="252"/>
      <c r="J71" s="252"/>
      <c r="K71" s="543"/>
      <c r="L71" s="542">
        <v>46027</v>
      </c>
      <c r="M71" s="544">
        <f t="shared" si="74"/>
        <v>46027</v>
      </c>
      <c r="N71" s="254" t="s">
        <v>40</v>
      </c>
      <c r="O71" s="590" t="s">
        <v>728</v>
      </c>
      <c r="P71" s="590" t="s">
        <v>60</v>
      </c>
      <c r="Q71" s="591" t="s">
        <v>115</v>
      </c>
      <c r="R71" s="545"/>
      <c r="S71" s="296">
        <v>46</v>
      </c>
      <c r="T71" s="687">
        <f t="shared" si="72"/>
        <v>46</v>
      </c>
      <c r="U71" s="688"/>
      <c r="V71" s="256">
        <v>46030</v>
      </c>
      <c r="W71" s="546">
        <f t="shared" si="67"/>
        <v>46030</v>
      </c>
      <c r="X71" s="281">
        <f t="shared" si="10"/>
        <v>46</v>
      </c>
      <c r="Y71" s="296">
        <f t="shared" si="11"/>
        <v>0</v>
      </c>
      <c r="Z71" s="309" t="s">
        <v>447</v>
      </c>
      <c r="AA71" s="365" t="str">
        <f t="shared" si="60"/>
        <v>RABONA</v>
      </c>
      <c r="AB71" s="366" t="str">
        <f t="shared" si="13"/>
        <v>COMPLETED</v>
      </c>
      <c r="AC71" s="257"/>
      <c r="AD71" s="367"/>
      <c r="AE71" s="368">
        <f t="shared" si="68"/>
        <v>0</v>
      </c>
      <c r="AF71" s="313"/>
      <c r="AG71" s="369">
        <f t="shared" si="69"/>
        <v>0</v>
      </c>
      <c r="AH71" s="370">
        <f t="shared" si="70"/>
        <v>0</v>
      </c>
      <c r="AI71" s="313"/>
    </row>
    <row r="72" spans="1:35" s="172" customFormat="1" ht="56" customHeight="1" x14ac:dyDescent="0.25">
      <c r="A72" s="316"/>
      <c r="B72" s="290"/>
      <c r="C72" s="363" t="str">
        <f t="shared" si="18"/>
        <v>26/1/</v>
      </c>
      <c r="D72" s="364" t="s">
        <v>216</v>
      </c>
      <c r="E72" s="576" t="s">
        <v>446</v>
      </c>
      <c r="F72" s="269" t="s">
        <v>144</v>
      </c>
      <c r="G72" s="312" t="s">
        <v>24</v>
      </c>
      <c r="H72" s="534"/>
      <c r="I72" s="252"/>
      <c r="J72" s="252"/>
      <c r="K72" s="313"/>
      <c r="L72" s="261">
        <v>46027</v>
      </c>
      <c r="M72" s="253">
        <f>L72</f>
        <v>46027</v>
      </c>
      <c r="N72" s="535" t="s">
        <v>40</v>
      </c>
      <c r="O72" s="259" t="s">
        <v>120</v>
      </c>
      <c r="P72" s="259" t="s">
        <v>699</v>
      </c>
      <c r="Q72" s="260" t="s">
        <v>121</v>
      </c>
      <c r="R72" s="255"/>
      <c r="S72" s="297">
        <v>46</v>
      </c>
      <c r="T72" s="359">
        <f t="shared" si="72"/>
        <v>46</v>
      </c>
      <c r="U72" s="360"/>
      <c r="V72" s="256">
        <v>46030</v>
      </c>
      <c r="W72" s="301">
        <f t="shared" si="67"/>
        <v>46030</v>
      </c>
      <c r="X72" s="281">
        <f t="shared" si="10"/>
        <v>46</v>
      </c>
      <c r="Y72" s="296">
        <f t="shared" si="11"/>
        <v>0</v>
      </c>
      <c r="Z72" s="309" t="s">
        <v>447</v>
      </c>
      <c r="AA72" s="365" t="str">
        <f t="shared" si="60"/>
        <v>SHARE HOLDER</v>
      </c>
      <c r="AB72" s="366" t="str">
        <f t="shared" si="13"/>
        <v>COMPLETED</v>
      </c>
      <c r="AC72" s="257"/>
      <c r="AD72" s="367"/>
      <c r="AE72" s="368">
        <f t="shared" si="68"/>
        <v>0</v>
      </c>
      <c r="AF72" s="313"/>
      <c r="AG72" s="369">
        <f t="shared" si="69"/>
        <v>0</v>
      </c>
      <c r="AH72" s="370">
        <f t="shared" si="70"/>
        <v>46</v>
      </c>
      <c r="AI72" s="313" t="s">
        <v>23</v>
      </c>
    </row>
    <row r="73" spans="1:35" s="172" customFormat="1" ht="56" customHeight="1" x14ac:dyDescent="0.25">
      <c r="A73" s="316"/>
      <c r="B73" s="290"/>
      <c r="C73" s="363" t="str">
        <f t="shared" si="18"/>
        <v>26/1/</v>
      </c>
      <c r="D73" s="364" t="s">
        <v>217</v>
      </c>
      <c r="E73" s="576" t="s">
        <v>446</v>
      </c>
      <c r="F73" s="269" t="s">
        <v>144</v>
      </c>
      <c r="G73" s="312" t="s">
        <v>24</v>
      </c>
      <c r="H73" s="314"/>
      <c r="I73" s="252"/>
      <c r="J73" s="258"/>
      <c r="K73" s="579"/>
      <c r="L73" s="266">
        <v>46027</v>
      </c>
      <c r="M73" s="253">
        <f>L73</f>
        <v>46027</v>
      </c>
      <c r="N73" s="254" t="s">
        <v>40</v>
      </c>
      <c r="O73" s="590" t="s">
        <v>120</v>
      </c>
      <c r="P73" s="590" t="s">
        <v>699</v>
      </c>
      <c r="Q73" s="591" t="s">
        <v>121</v>
      </c>
      <c r="R73" s="255"/>
      <c r="S73" s="296">
        <v>46</v>
      </c>
      <c r="T73" s="357">
        <f>S73</f>
        <v>46</v>
      </c>
      <c r="U73" s="358"/>
      <c r="V73" s="256">
        <v>46030</v>
      </c>
      <c r="W73" s="301">
        <f t="shared" si="67"/>
        <v>46030</v>
      </c>
      <c r="X73" s="281">
        <f t="shared" ref="X73:X136" si="76">T73+U73</f>
        <v>46</v>
      </c>
      <c r="Y73" s="296">
        <f t="shared" ref="Y73:Y136" si="77">S73-X73</f>
        <v>0</v>
      </c>
      <c r="Z73" s="309" t="s">
        <v>447</v>
      </c>
      <c r="AA73" s="365" t="str">
        <f t="shared" si="60"/>
        <v>SHARE HOLDER</v>
      </c>
      <c r="AB73" s="366" t="str">
        <f t="shared" ref="AB73:AB136" si="78">IF(Y73&gt;0,"PENDING EXECUTION","COMPLETED")</f>
        <v>COMPLETED</v>
      </c>
      <c r="AC73" s="541"/>
      <c r="AD73" s="367"/>
      <c r="AE73" s="368">
        <f t="shared" si="68"/>
        <v>0</v>
      </c>
      <c r="AF73" s="617"/>
      <c r="AG73" s="369">
        <f t="shared" si="69"/>
        <v>0</v>
      </c>
      <c r="AH73" s="370">
        <f t="shared" si="70"/>
        <v>46</v>
      </c>
      <c r="AI73" s="313" t="s">
        <v>23</v>
      </c>
    </row>
    <row r="74" spans="1:35" s="172" customFormat="1" ht="56" hidden="1" customHeight="1" x14ac:dyDescent="0.25">
      <c r="A74" s="316"/>
      <c r="B74" s="290"/>
      <c r="C74" s="363" t="str">
        <f t="shared" ref="C74:C137" si="79">IF(A73=0,$C$4,"-")</f>
        <v>26/1/</v>
      </c>
      <c r="D74" s="364" t="s">
        <v>218</v>
      </c>
      <c r="E74" s="576" t="s">
        <v>446</v>
      </c>
      <c r="F74" s="269" t="s">
        <v>144</v>
      </c>
      <c r="G74" s="312" t="s">
        <v>39</v>
      </c>
      <c r="H74" s="314" t="s">
        <v>729</v>
      </c>
      <c r="I74" s="252"/>
      <c r="J74" s="252"/>
      <c r="K74" s="547"/>
      <c r="L74" s="261">
        <v>46034</v>
      </c>
      <c r="M74" s="253">
        <f t="shared" ref="M74:M105" si="80">L74</f>
        <v>46034</v>
      </c>
      <c r="N74" s="535" t="s">
        <v>730</v>
      </c>
      <c r="O74" s="259" t="s">
        <v>62</v>
      </c>
      <c r="P74" s="259" t="s">
        <v>62</v>
      </c>
      <c r="Q74" s="260" t="s">
        <v>115</v>
      </c>
      <c r="R74" s="264"/>
      <c r="S74" s="297">
        <v>20.53</v>
      </c>
      <c r="T74" s="359">
        <f>S74</f>
        <v>20.53</v>
      </c>
      <c r="U74" s="358"/>
      <c r="V74" s="256">
        <v>46036</v>
      </c>
      <c r="W74" s="301">
        <f t="shared" si="67"/>
        <v>46036</v>
      </c>
      <c r="X74" s="281">
        <f t="shared" si="76"/>
        <v>20.53</v>
      </c>
      <c r="Y74" s="296">
        <f t="shared" si="77"/>
        <v>0</v>
      </c>
      <c r="Z74" s="309" t="s">
        <v>447</v>
      </c>
      <c r="AA74" s="365" t="str">
        <f t="shared" si="60"/>
        <v>RABONA</v>
      </c>
      <c r="AB74" s="366" t="str">
        <f t="shared" si="78"/>
        <v>COMPLETED</v>
      </c>
      <c r="AC74" s="257"/>
      <c r="AD74" s="367"/>
      <c r="AE74" s="368">
        <f t="shared" si="68"/>
        <v>0</v>
      </c>
      <c r="AF74" s="617"/>
      <c r="AG74" s="369">
        <f t="shared" si="69"/>
        <v>0</v>
      </c>
      <c r="AH74" s="370">
        <f t="shared" si="70"/>
        <v>0</v>
      </c>
      <c r="AI74" s="313"/>
    </row>
    <row r="75" spans="1:35" s="172" customFormat="1" ht="56" hidden="1" customHeight="1" x14ac:dyDescent="0.25">
      <c r="A75" s="316"/>
      <c r="B75" s="290"/>
      <c r="C75" s="363" t="str">
        <f t="shared" si="79"/>
        <v>26/1/</v>
      </c>
      <c r="D75" s="364" t="s">
        <v>219</v>
      </c>
      <c r="E75" s="269" t="s">
        <v>446</v>
      </c>
      <c r="F75" s="269" t="s">
        <v>144</v>
      </c>
      <c r="G75" s="312" t="s">
        <v>39</v>
      </c>
      <c r="H75" s="314" t="s">
        <v>731</v>
      </c>
      <c r="I75" s="252"/>
      <c r="J75" s="252"/>
      <c r="K75" s="547"/>
      <c r="L75" s="261">
        <v>46036</v>
      </c>
      <c r="M75" s="253">
        <f t="shared" si="80"/>
        <v>46036</v>
      </c>
      <c r="N75" s="254" t="s">
        <v>732</v>
      </c>
      <c r="O75" s="590" t="s">
        <v>62</v>
      </c>
      <c r="P75" s="590" t="s">
        <v>62</v>
      </c>
      <c r="Q75" s="591" t="s">
        <v>115</v>
      </c>
      <c r="R75" s="255"/>
      <c r="S75" s="296">
        <v>55.69</v>
      </c>
      <c r="T75" s="359">
        <f t="shared" ref="T75:T77" si="81">S75</f>
        <v>55.69</v>
      </c>
      <c r="U75" s="358"/>
      <c r="V75" s="256">
        <v>46038</v>
      </c>
      <c r="W75" s="301">
        <f t="shared" si="67"/>
        <v>46038</v>
      </c>
      <c r="X75" s="281">
        <f t="shared" si="76"/>
        <v>55.69</v>
      </c>
      <c r="Y75" s="296">
        <f t="shared" si="77"/>
        <v>0</v>
      </c>
      <c r="Z75" s="309" t="s">
        <v>447</v>
      </c>
      <c r="AA75" s="365" t="str">
        <f t="shared" si="60"/>
        <v>RABONA</v>
      </c>
      <c r="AB75" s="366" t="str">
        <f t="shared" si="78"/>
        <v>COMPLETED</v>
      </c>
      <c r="AC75" s="257"/>
      <c r="AD75" s="367"/>
      <c r="AE75" s="368">
        <f t="shared" si="68"/>
        <v>0</v>
      </c>
      <c r="AF75" s="313"/>
      <c r="AG75" s="369">
        <f t="shared" si="69"/>
        <v>0</v>
      </c>
      <c r="AH75" s="370">
        <f t="shared" si="70"/>
        <v>0</v>
      </c>
      <c r="AI75" s="313"/>
    </row>
    <row r="76" spans="1:35" s="172" customFormat="1" ht="56" hidden="1" customHeight="1" x14ac:dyDescent="0.25">
      <c r="A76" s="316"/>
      <c r="B76" s="290"/>
      <c r="C76" s="363" t="str">
        <f t="shared" si="79"/>
        <v>26/1/</v>
      </c>
      <c r="D76" s="364" t="s">
        <v>220</v>
      </c>
      <c r="E76" s="269" t="s">
        <v>446</v>
      </c>
      <c r="F76" s="269" t="s">
        <v>144</v>
      </c>
      <c r="G76" s="312" t="s">
        <v>39</v>
      </c>
      <c r="H76" s="314"/>
      <c r="I76" s="252"/>
      <c r="J76" s="252"/>
      <c r="K76" s="547"/>
      <c r="L76" s="261">
        <v>46037</v>
      </c>
      <c r="M76" s="253">
        <f t="shared" si="80"/>
        <v>46037</v>
      </c>
      <c r="N76" s="254" t="s">
        <v>43</v>
      </c>
      <c r="O76" s="685" t="s">
        <v>733</v>
      </c>
      <c r="P76" s="685" t="s">
        <v>96</v>
      </c>
      <c r="Q76" s="686" t="s">
        <v>96</v>
      </c>
      <c r="R76" s="255"/>
      <c r="S76" s="296">
        <v>0.69</v>
      </c>
      <c r="T76" s="359">
        <f t="shared" si="81"/>
        <v>0.69</v>
      </c>
      <c r="U76" s="358"/>
      <c r="V76" s="256">
        <v>46037</v>
      </c>
      <c r="W76" s="301">
        <f t="shared" ref="W76:W106" si="82">V76</f>
        <v>46037</v>
      </c>
      <c r="X76" s="281">
        <f t="shared" si="76"/>
        <v>0.69</v>
      </c>
      <c r="Y76" s="296">
        <f t="shared" si="77"/>
        <v>0</v>
      </c>
      <c r="Z76" s="309" t="s">
        <v>42</v>
      </c>
      <c r="AA76" s="365" t="str">
        <f t="shared" si="60"/>
        <v>RABONA</v>
      </c>
      <c r="AB76" s="366" t="str">
        <f t="shared" si="78"/>
        <v>COMPLETED</v>
      </c>
      <c r="AC76" s="257"/>
      <c r="AD76" s="367"/>
      <c r="AE76" s="368">
        <f t="shared" si="68"/>
        <v>0</v>
      </c>
      <c r="AF76" s="313"/>
      <c r="AG76" s="369">
        <f t="shared" si="69"/>
        <v>0</v>
      </c>
      <c r="AH76" s="370">
        <f t="shared" si="70"/>
        <v>0</v>
      </c>
      <c r="AI76" s="313"/>
    </row>
    <row r="77" spans="1:35" s="172" customFormat="1" ht="56" customHeight="1" x14ac:dyDescent="0.25">
      <c r="A77" s="316" t="s">
        <v>363</v>
      </c>
      <c r="B77" s="290"/>
      <c r="C77" s="363" t="str">
        <f t="shared" si="79"/>
        <v>26/1/</v>
      </c>
      <c r="D77" s="364" t="s">
        <v>221</v>
      </c>
      <c r="E77" s="269" t="s">
        <v>446</v>
      </c>
      <c r="F77" s="269" t="s">
        <v>144</v>
      </c>
      <c r="G77" s="312" t="s">
        <v>24</v>
      </c>
      <c r="H77" s="314"/>
      <c r="I77" s="252"/>
      <c r="J77" s="252"/>
      <c r="K77" s="313"/>
      <c r="L77" s="261">
        <v>46038</v>
      </c>
      <c r="M77" s="253">
        <f t="shared" si="80"/>
        <v>46038</v>
      </c>
      <c r="N77" s="373" t="s">
        <v>734</v>
      </c>
      <c r="O77" s="259" t="s">
        <v>120</v>
      </c>
      <c r="P77" s="259" t="s">
        <v>699</v>
      </c>
      <c r="Q77" s="260" t="s">
        <v>121</v>
      </c>
      <c r="R77" s="255"/>
      <c r="S77" s="296">
        <v>73.989999999999995</v>
      </c>
      <c r="T77" s="359">
        <f t="shared" si="81"/>
        <v>73.989999999999995</v>
      </c>
      <c r="U77" s="358"/>
      <c r="V77" s="256">
        <v>46041</v>
      </c>
      <c r="W77" s="301">
        <f t="shared" si="82"/>
        <v>46041</v>
      </c>
      <c r="X77" s="281">
        <f t="shared" si="76"/>
        <v>73.989999999999995</v>
      </c>
      <c r="Y77" s="296">
        <f t="shared" si="77"/>
        <v>0</v>
      </c>
      <c r="Z77" s="309" t="s">
        <v>447</v>
      </c>
      <c r="AA77" s="365" t="str">
        <f t="shared" ref="AA77:AA108" si="83">G77</f>
        <v>SHARE HOLDER</v>
      </c>
      <c r="AB77" s="366" t="str">
        <f t="shared" si="78"/>
        <v>COMPLETED</v>
      </c>
      <c r="AC77" s="257"/>
      <c r="AD77" s="367"/>
      <c r="AE77" s="368">
        <f t="shared" si="68"/>
        <v>0</v>
      </c>
      <c r="AF77" s="313"/>
      <c r="AG77" s="369">
        <f t="shared" si="69"/>
        <v>0</v>
      </c>
      <c r="AH77" s="370">
        <f t="shared" si="70"/>
        <v>73.989999999999995</v>
      </c>
      <c r="AI77" s="313" t="s">
        <v>23</v>
      </c>
    </row>
    <row r="78" spans="1:35" s="172" customFormat="1" ht="56" hidden="1" customHeight="1" x14ac:dyDescent="0.25">
      <c r="A78" s="316"/>
      <c r="B78" s="290"/>
      <c r="C78" s="363" t="str">
        <f>C77</f>
        <v>26/1/</v>
      </c>
      <c r="D78" s="364" t="s">
        <v>222</v>
      </c>
      <c r="E78" s="269" t="s">
        <v>446</v>
      </c>
      <c r="F78" s="269" t="s">
        <v>144</v>
      </c>
      <c r="G78" s="312" t="s">
        <v>39</v>
      </c>
      <c r="H78" s="534"/>
      <c r="I78" s="252"/>
      <c r="J78" s="252"/>
      <c r="K78" s="313"/>
      <c r="L78" s="261">
        <v>46038</v>
      </c>
      <c r="M78" s="253">
        <v>45782</v>
      </c>
      <c r="N78" s="254" t="s">
        <v>451</v>
      </c>
      <c r="O78" s="590" t="s">
        <v>735</v>
      </c>
      <c r="P78" s="590" t="s">
        <v>91</v>
      </c>
      <c r="Q78" s="591" t="s">
        <v>90</v>
      </c>
      <c r="R78" s="255"/>
      <c r="S78" s="296">
        <v>30</v>
      </c>
      <c r="T78" s="357">
        <f t="shared" ref="T78:T79" si="84">S78</f>
        <v>30</v>
      </c>
      <c r="U78" s="358"/>
      <c r="V78" s="256">
        <v>46038</v>
      </c>
      <c r="W78" s="301">
        <f t="shared" si="82"/>
        <v>46038</v>
      </c>
      <c r="X78" s="281">
        <f t="shared" si="76"/>
        <v>30</v>
      </c>
      <c r="Y78" s="296">
        <f t="shared" si="77"/>
        <v>0</v>
      </c>
      <c r="Z78" s="309" t="s">
        <v>447</v>
      </c>
      <c r="AA78" s="365" t="str">
        <f t="shared" si="83"/>
        <v>RABONA</v>
      </c>
      <c r="AB78" s="366" t="str">
        <f t="shared" si="78"/>
        <v>COMPLETED</v>
      </c>
      <c r="AC78" s="257"/>
      <c r="AD78" s="367"/>
      <c r="AE78" s="368">
        <f t="shared" si="68"/>
        <v>0</v>
      </c>
      <c r="AF78" s="313"/>
      <c r="AG78" s="369">
        <f t="shared" si="69"/>
        <v>0</v>
      </c>
      <c r="AH78" s="370">
        <f t="shared" si="70"/>
        <v>0</v>
      </c>
      <c r="AI78" s="313"/>
    </row>
    <row r="79" spans="1:35" s="172" customFormat="1" ht="56" hidden="1" customHeight="1" x14ac:dyDescent="0.25">
      <c r="A79" s="316"/>
      <c r="B79" s="290"/>
      <c r="C79" s="363" t="str">
        <f t="shared" si="79"/>
        <v>26/1/</v>
      </c>
      <c r="D79" s="364" t="s">
        <v>223</v>
      </c>
      <c r="E79" s="269" t="s">
        <v>446</v>
      </c>
      <c r="F79" s="269" t="s">
        <v>144</v>
      </c>
      <c r="G79" s="312" t="s">
        <v>39</v>
      </c>
      <c r="H79" s="534"/>
      <c r="I79" s="252"/>
      <c r="J79" s="798"/>
      <c r="K79" s="799"/>
      <c r="L79" s="261">
        <v>46037</v>
      </c>
      <c r="M79" s="253">
        <f t="shared" si="80"/>
        <v>46037</v>
      </c>
      <c r="N79" s="535" t="s">
        <v>736</v>
      </c>
      <c r="O79" s="259" t="s">
        <v>137</v>
      </c>
      <c r="P79" s="590" t="s">
        <v>85</v>
      </c>
      <c r="Q79" s="591" t="s">
        <v>77</v>
      </c>
      <c r="R79" s="255"/>
      <c r="S79" s="296">
        <v>156.80000000000001</v>
      </c>
      <c r="T79" s="357">
        <f t="shared" si="84"/>
        <v>156.80000000000001</v>
      </c>
      <c r="U79" s="358"/>
      <c r="V79" s="256">
        <v>46041</v>
      </c>
      <c r="W79" s="301">
        <f t="shared" si="82"/>
        <v>46041</v>
      </c>
      <c r="X79" s="281">
        <f t="shared" si="76"/>
        <v>156.80000000000001</v>
      </c>
      <c r="Y79" s="296">
        <f t="shared" si="77"/>
        <v>0</v>
      </c>
      <c r="Z79" s="309" t="s">
        <v>447</v>
      </c>
      <c r="AA79" s="365" t="str">
        <f t="shared" si="83"/>
        <v>RABONA</v>
      </c>
      <c r="AB79" s="366" t="str">
        <f t="shared" si="78"/>
        <v>COMPLETED</v>
      </c>
      <c r="AC79" s="257"/>
      <c r="AD79" s="367"/>
      <c r="AE79" s="368">
        <f t="shared" si="68"/>
        <v>0</v>
      </c>
      <c r="AF79" s="313"/>
      <c r="AG79" s="369">
        <f t="shared" si="69"/>
        <v>0</v>
      </c>
      <c r="AH79" s="370">
        <f t="shared" si="70"/>
        <v>0</v>
      </c>
      <c r="AI79" s="313"/>
    </row>
    <row r="80" spans="1:35" s="172" customFormat="1" ht="56" hidden="1" customHeight="1" x14ac:dyDescent="0.25">
      <c r="A80" s="316"/>
      <c r="B80" s="290"/>
      <c r="C80" s="363" t="str">
        <f t="shared" si="79"/>
        <v>26/1/</v>
      </c>
      <c r="D80" s="364" t="s">
        <v>224</v>
      </c>
      <c r="E80" s="269" t="s">
        <v>446</v>
      </c>
      <c r="F80" s="269" t="s">
        <v>144</v>
      </c>
      <c r="G80" s="312" t="s">
        <v>39</v>
      </c>
      <c r="H80" s="314" t="s">
        <v>737</v>
      </c>
      <c r="I80" s="252"/>
      <c r="J80" s="252"/>
      <c r="K80" s="313"/>
      <c r="L80" s="261">
        <v>46038</v>
      </c>
      <c r="M80" s="253">
        <f t="shared" si="80"/>
        <v>46038</v>
      </c>
      <c r="N80" s="254" t="s">
        <v>40</v>
      </c>
      <c r="O80" s="259" t="s">
        <v>728</v>
      </c>
      <c r="P80" s="590" t="s">
        <v>60</v>
      </c>
      <c r="Q80" s="591" t="s">
        <v>115</v>
      </c>
      <c r="R80" s="255"/>
      <c r="S80" s="296">
        <v>98.85</v>
      </c>
      <c r="T80" s="357">
        <f t="shared" ref="T80:T84" si="85">S80</f>
        <v>98.85</v>
      </c>
      <c r="U80" s="358"/>
      <c r="V80" s="256">
        <v>46041</v>
      </c>
      <c r="W80" s="301">
        <f t="shared" si="82"/>
        <v>46041</v>
      </c>
      <c r="X80" s="281">
        <f t="shared" si="76"/>
        <v>98.85</v>
      </c>
      <c r="Y80" s="296">
        <f t="shared" si="77"/>
        <v>0</v>
      </c>
      <c r="Z80" s="309" t="s">
        <v>447</v>
      </c>
      <c r="AA80" s="365" t="str">
        <f t="shared" si="83"/>
        <v>RABONA</v>
      </c>
      <c r="AB80" s="366" t="str">
        <f t="shared" si="78"/>
        <v>COMPLETED</v>
      </c>
      <c r="AC80" s="257"/>
      <c r="AD80" s="367"/>
      <c r="AE80" s="368">
        <f t="shared" si="68"/>
        <v>0</v>
      </c>
      <c r="AF80" s="313"/>
      <c r="AG80" s="369">
        <f t="shared" si="69"/>
        <v>0</v>
      </c>
      <c r="AH80" s="370">
        <f t="shared" si="70"/>
        <v>0</v>
      </c>
      <c r="AI80" s="313"/>
    </row>
    <row r="81" spans="1:36" s="172" customFormat="1" ht="56" hidden="1" customHeight="1" x14ac:dyDescent="0.25">
      <c r="A81" s="316"/>
      <c r="B81" s="290"/>
      <c r="C81" s="363" t="str">
        <f t="shared" si="79"/>
        <v>26/1/</v>
      </c>
      <c r="D81" s="364" t="s">
        <v>225</v>
      </c>
      <c r="E81" s="269" t="s">
        <v>446</v>
      </c>
      <c r="F81" s="269" t="s">
        <v>144</v>
      </c>
      <c r="G81" s="312" t="s">
        <v>39</v>
      </c>
      <c r="H81" s="534" t="s">
        <v>738</v>
      </c>
      <c r="I81" s="252"/>
      <c r="J81" s="800"/>
      <c r="K81" s="801"/>
      <c r="L81" s="542">
        <v>46037</v>
      </c>
      <c r="M81" s="544">
        <f t="shared" si="80"/>
        <v>46037</v>
      </c>
      <c r="N81" s="254" t="s">
        <v>739</v>
      </c>
      <c r="O81" s="259" t="s">
        <v>740</v>
      </c>
      <c r="P81" s="590" t="s">
        <v>60</v>
      </c>
      <c r="Q81" s="591" t="s">
        <v>115</v>
      </c>
      <c r="R81" s="545"/>
      <c r="S81" s="802">
        <v>102.06</v>
      </c>
      <c r="T81" s="687">
        <f>S81</f>
        <v>102.06</v>
      </c>
      <c r="U81" s="688"/>
      <c r="V81" s="256">
        <v>46041</v>
      </c>
      <c r="W81" s="546">
        <f t="shared" si="82"/>
        <v>46041</v>
      </c>
      <c r="X81" s="281">
        <f t="shared" si="76"/>
        <v>102.06</v>
      </c>
      <c r="Y81" s="296">
        <f t="shared" si="77"/>
        <v>0</v>
      </c>
      <c r="Z81" s="309" t="s">
        <v>447</v>
      </c>
      <c r="AA81" s="365" t="str">
        <f t="shared" si="83"/>
        <v>RABONA</v>
      </c>
      <c r="AB81" s="366" t="str">
        <f t="shared" si="78"/>
        <v>COMPLETED</v>
      </c>
      <c r="AC81" s="257"/>
      <c r="AD81" s="367"/>
      <c r="AE81" s="368">
        <f t="shared" ref="AE81:AE112" si="86">IF(AA81=$AD$5,S81,0)</f>
        <v>0</v>
      </c>
      <c r="AF81" s="313"/>
      <c r="AG81" s="369">
        <f t="shared" ref="AG81:AG112" si="87">IF(Z81=$AG$5,X81,0)</f>
        <v>0</v>
      </c>
      <c r="AH81" s="370">
        <f t="shared" ref="AH81:AH112" si="88">IF(AA81=$AH$5,X81,0)</f>
        <v>0</v>
      </c>
      <c r="AI81" s="313"/>
    </row>
    <row r="82" spans="1:36" s="172" customFormat="1" ht="56" customHeight="1" x14ac:dyDescent="0.25">
      <c r="A82" s="316"/>
      <c r="B82" s="290"/>
      <c r="C82" s="363" t="str">
        <f t="shared" si="79"/>
        <v>26/1/</v>
      </c>
      <c r="D82" s="364" t="s">
        <v>226</v>
      </c>
      <c r="E82" s="269" t="s">
        <v>446</v>
      </c>
      <c r="F82" s="269" t="s">
        <v>144</v>
      </c>
      <c r="G82" s="312" t="s">
        <v>24</v>
      </c>
      <c r="H82" s="314"/>
      <c r="I82" s="252"/>
      <c r="J82" s="252"/>
      <c r="K82" s="543"/>
      <c r="L82" s="261">
        <v>46037</v>
      </c>
      <c r="M82" s="253">
        <f t="shared" si="80"/>
        <v>46037</v>
      </c>
      <c r="N82" s="254" t="s">
        <v>739</v>
      </c>
      <c r="O82" s="685" t="s">
        <v>120</v>
      </c>
      <c r="P82" s="685" t="s">
        <v>699</v>
      </c>
      <c r="Q82" s="686" t="s">
        <v>121</v>
      </c>
      <c r="R82" s="255"/>
      <c r="S82" s="296">
        <v>120.06</v>
      </c>
      <c r="T82" s="357">
        <f t="shared" si="85"/>
        <v>120.06</v>
      </c>
      <c r="U82" s="358"/>
      <c r="V82" s="256">
        <v>46041</v>
      </c>
      <c r="W82" s="301">
        <f t="shared" si="82"/>
        <v>46041</v>
      </c>
      <c r="X82" s="281">
        <f t="shared" si="76"/>
        <v>120.06</v>
      </c>
      <c r="Y82" s="296">
        <f t="shared" si="77"/>
        <v>0</v>
      </c>
      <c r="Z82" s="309" t="s">
        <v>447</v>
      </c>
      <c r="AA82" s="365" t="str">
        <f t="shared" si="83"/>
        <v>SHARE HOLDER</v>
      </c>
      <c r="AB82" s="366" t="str">
        <f t="shared" si="78"/>
        <v>COMPLETED</v>
      </c>
      <c r="AC82" s="257"/>
      <c r="AD82" s="367"/>
      <c r="AE82" s="368">
        <f t="shared" si="86"/>
        <v>0</v>
      </c>
      <c r="AF82" s="313"/>
      <c r="AG82" s="369">
        <f t="shared" si="87"/>
        <v>0</v>
      </c>
      <c r="AH82" s="370">
        <f t="shared" si="88"/>
        <v>120.06</v>
      </c>
      <c r="AI82" s="313" t="s">
        <v>23</v>
      </c>
    </row>
    <row r="83" spans="1:36" s="172" customFormat="1" ht="56" hidden="1" customHeight="1" x14ac:dyDescent="0.25">
      <c r="A83" s="316"/>
      <c r="B83" s="290"/>
      <c r="C83" s="363" t="str">
        <f t="shared" si="79"/>
        <v>26/1/</v>
      </c>
      <c r="D83" s="364" t="s">
        <v>227</v>
      </c>
      <c r="E83" s="269" t="s">
        <v>446</v>
      </c>
      <c r="F83" s="269" t="s">
        <v>144</v>
      </c>
      <c r="G83" s="312" t="s">
        <v>39</v>
      </c>
      <c r="H83" s="534" t="s">
        <v>741</v>
      </c>
      <c r="I83" s="803"/>
      <c r="J83" s="252"/>
      <c r="K83" s="574"/>
      <c r="L83" s="261">
        <v>46042</v>
      </c>
      <c r="M83" s="253">
        <f t="shared" ref="M83:M84" si="89">L83</f>
        <v>46042</v>
      </c>
      <c r="N83" s="254" t="s">
        <v>742</v>
      </c>
      <c r="O83" s="259" t="s">
        <v>62</v>
      </c>
      <c r="P83" s="590" t="s">
        <v>62</v>
      </c>
      <c r="Q83" s="591" t="s">
        <v>115</v>
      </c>
      <c r="R83" s="255"/>
      <c r="S83" s="296">
        <v>33</v>
      </c>
      <c r="T83" s="357">
        <f t="shared" si="85"/>
        <v>33</v>
      </c>
      <c r="U83" s="358"/>
      <c r="V83" s="256">
        <v>46044</v>
      </c>
      <c r="W83" s="301">
        <f t="shared" si="82"/>
        <v>46044</v>
      </c>
      <c r="X83" s="281">
        <f t="shared" si="76"/>
        <v>33</v>
      </c>
      <c r="Y83" s="296">
        <f t="shared" si="77"/>
        <v>0</v>
      </c>
      <c r="Z83" s="309" t="s">
        <v>447</v>
      </c>
      <c r="AA83" s="365" t="str">
        <f t="shared" si="83"/>
        <v>RABONA</v>
      </c>
      <c r="AB83" s="366" t="str">
        <f t="shared" si="78"/>
        <v>COMPLETED</v>
      </c>
      <c r="AC83" s="541"/>
      <c r="AD83" s="367"/>
      <c r="AE83" s="368">
        <f t="shared" si="86"/>
        <v>0</v>
      </c>
      <c r="AF83" s="313"/>
      <c r="AG83" s="369">
        <f t="shared" si="87"/>
        <v>0</v>
      </c>
      <c r="AH83" s="370">
        <f t="shared" si="88"/>
        <v>0</v>
      </c>
      <c r="AI83" s="313"/>
    </row>
    <row r="84" spans="1:36" s="172" customFormat="1" ht="56" hidden="1" customHeight="1" x14ac:dyDescent="0.25">
      <c r="A84" s="316"/>
      <c r="B84" s="290"/>
      <c r="C84" s="363" t="str">
        <f t="shared" si="79"/>
        <v>26/1/</v>
      </c>
      <c r="D84" s="364" t="s">
        <v>228</v>
      </c>
      <c r="E84" s="269" t="s">
        <v>446</v>
      </c>
      <c r="F84" s="269" t="s">
        <v>144</v>
      </c>
      <c r="G84" s="312" t="s">
        <v>39</v>
      </c>
      <c r="H84" s="314"/>
      <c r="I84" s="252"/>
      <c r="J84" s="252"/>
      <c r="K84" s="313"/>
      <c r="L84" s="261">
        <v>46046</v>
      </c>
      <c r="M84" s="253">
        <f t="shared" si="89"/>
        <v>46046</v>
      </c>
      <c r="N84" s="373" t="s">
        <v>744</v>
      </c>
      <c r="O84" s="259" t="s">
        <v>137</v>
      </c>
      <c r="P84" s="259" t="s">
        <v>85</v>
      </c>
      <c r="Q84" s="260" t="s">
        <v>77</v>
      </c>
      <c r="R84" s="255"/>
      <c r="S84" s="296">
        <v>510.26</v>
      </c>
      <c r="T84" s="357">
        <f t="shared" si="85"/>
        <v>510.26</v>
      </c>
      <c r="U84" s="358"/>
      <c r="V84" s="256">
        <v>46048</v>
      </c>
      <c r="W84" s="301">
        <f t="shared" si="82"/>
        <v>46048</v>
      </c>
      <c r="X84" s="281">
        <f t="shared" si="76"/>
        <v>510.26</v>
      </c>
      <c r="Y84" s="296">
        <f t="shared" si="77"/>
        <v>0</v>
      </c>
      <c r="Z84" s="309" t="s">
        <v>447</v>
      </c>
      <c r="AA84" s="365" t="str">
        <f t="shared" si="83"/>
        <v>RABONA</v>
      </c>
      <c r="AB84" s="366" t="str">
        <f t="shared" si="78"/>
        <v>COMPLETED</v>
      </c>
      <c r="AC84" s="257"/>
      <c r="AD84" s="367"/>
      <c r="AE84" s="368">
        <f t="shared" si="86"/>
        <v>0</v>
      </c>
      <c r="AF84" s="313"/>
      <c r="AG84" s="369">
        <f t="shared" si="87"/>
        <v>0</v>
      </c>
      <c r="AH84" s="370">
        <f t="shared" si="88"/>
        <v>0</v>
      </c>
      <c r="AI84" s="313"/>
    </row>
    <row r="85" spans="1:36" s="172" customFormat="1" ht="56" hidden="1" customHeight="1" x14ac:dyDescent="0.25">
      <c r="A85" s="316"/>
      <c r="B85" s="290"/>
      <c r="C85" s="363" t="str">
        <f t="shared" si="79"/>
        <v>26/1/</v>
      </c>
      <c r="D85" s="364" t="s">
        <v>229</v>
      </c>
      <c r="E85" s="269" t="s">
        <v>446</v>
      </c>
      <c r="F85" s="269" t="s">
        <v>144</v>
      </c>
      <c r="G85" s="312" t="s">
        <v>39</v>
      </c>
      <c r="H85" s="534"/>
      <c r="I85" s="252"/>
      <c r="J85" s="252"/>
      <c r="K85" s="547"/>
      <c r="L85" s="266">
        <v>46046</v>
      </c>
      <c r="M85" s="253">
        <f t="shared" ref="M85:M86" si="90">L85</f>
        <v>46046</v>
      </c>
      <c r="N85" s="373" t="s">
        <v>598</v>
      </c>
      <c r="O85" s="259" t="s">
        <v>93</v>
      </c>
      <c r="P85" s="259" t="s">
        <v>93</v>
      </c>
      <c r="Q85" s="260" t="s">
        <v>90</v>
      </c>
      <c r="R85" s="264"/>
      <c r="S85" s="297">
        <v>92.44</v>
      </c>
      <c r="T85" s="359">
        <f>S85</f>
        <v>92.44</v>
      </c>
      <c r="U85" s="360"/>
      <c r="V85" s="256">
        <v>46048</v>
      </c>
      <c r="W85" s="301">
        <f t="shared" si="82"/>
        <v>46048</v>
      </c>
      <c r="X85" s="281">
        <f t="shared" si="76"/>
        <v>92.44</v>
      </c>
      <c r="Y85" s="296">
        <f t="shared" si="77"/>
        <v>0</v>
      </c>
      <c r="Z85" s="309" t="s">
        <v>447</v>
      </c>
      <c r="AA85" s="365" t="str">
        <f t="shared" si="83"/>
        <v>RABONA</v>
      </c>
      <c r="AB85" s="366" t="str">
        <f t="shared" si="78"/>
        <v>COMPLETED</v>
      </c>
      <c r="AC85" s="257"/>
      <c r="AD85" s="367"/>
      <c r="AE85" s="368">
        <f t="shared" si="86"/>
        <v>0</v>
      </c>
      <c r="AF85" s="313"/>
      <c r="AG85" s="369">
        <f t="shared" si="87"/>
        <v>0</v>
      </c>
      <c r="AH85" s="370">
        <f t="shared" si="88"/>
        <v>0</v>
      </c>
      <c r="AI85" s="313"/>
    </row>
    <row r="86" spans="1:36" s="172" customFormat="1" ht="56" hidden="1" customHeight="1" x14ac:dyDescent="0.25">
      <c r="A86" s="316"/>
      <c r="B86" s="290"/>
      <c r="C86" s="363" t="str">
        <f t="shared" si="79"/>
        <v>26/1/</v>
      </c>
      <c r="D86" s="364" t="s">
        <v>230</v>
      </c>
      <c r="E86" s="269" t="s">
        <v>446</v>
      </c>
      <c r="F86" s="269" t="s">
        <v>144</v>
      </c>
      <c r="G86" s="312" t="s">
        <v>24</v>
      </c>
      <c r="H86" s="534"/>
      <c r="I86" s="252"/>
      <c r="J86" s="252"/>
      <c r="K86" s="574"/>
      <c r="L86" s="266">
        <v>46048</v>
      </c>
      <c r="M86" s="253">
        <f t="shared" si="90"/>
        <v>46048</v>
      </c>
      <c r="N86" s="373" t="s">
        <v>43</v>
      </c>
      <c r="O86" s="259" t="s">
        <v>745</v>
      </c>
      <c r="P86" s="259" t="s">
        <v>697</v>
      </c>
      <c r="Q86" s="260" t="s">
        <v>121</v>
      </c>
      <c r="R86" s="255"/>
      <c r="S86" s="297">
        <v>300</v>
      </c>
      <c r="T86" s="359">
        <f t="shared" ref="T86:T89" si="91">S86</f>
        <v>300</v>
      </c>
      <c r="U86" s="360"/>
      <c r="V86" s="265">
        <v>46048</v>
      </c>
      <c r="W86" s="301">
        <f t="shared" si="82"/>
        <v>46048</v>
      </c>
      <c r="X86" s="281">
        <f t="shared" si="76"/>
        <v>300</v>
      </c>
      <c r="Y86" s="296">
        <f t="shared" si="77"/>
        <v>0</v>
      </c>
      <c r="Z86" s="309" t="s">
        <v>447</v>
      </c>
      <c r="AA86" s="365" t="str">
        <f t="shared" si="83"/>
        <v>SHARE HOLDER</v>
      </c>
      <c r="AB86" s="366" t="str">
        <f t="shared" si="78"/>
        <v>COMPLETED</v>
      </c>
      <c r="AC86" s="257"/>
      <c r="AD86" s="367"/>
      <c r="AE86" s="368">
        <f t="shared" si="86"/>
        <v>0</v>
      </c>
      <c r="AF86" s="313"/>
      <c r="AG86" s="369">
        <f t="shared" si="87"/>
        <v>0</v>
      </c>
      <c r="AH86" s="370">
        <f t="shared" si="88"/>
        <v>300</v>
      </c>
      <c r="AI86" s="313" t="s">
        <v>23</v>
      </c>
    </row>
    <row r="87" spans="1:36" s="172" customFormat="1" ht="56" hidden="1" customHeight="1" x14ac:dyDescent="0.25">
      <c r="A87" s="316"/>
      <c r="B87" s="290"/>
      <c r="C87" s="363" t="str">
        <f t="shared" si="79"/>
        <v>26/1/</v>
      </c>
      <c r="D87" s="364" t="s">
        <v>231</v>
      </c>
      <c r="E87" s="269" t="s">
        <v>446</v>
      </c>
      <c r="F87" s="269" t="s">
        <v>144</v>
      </c>
      <c r="G87" s="312" t="s">
        <v>39</v>
      </c>
      <c r="H87" s="314"/>
      <c r="I87" s="252"/>
      <c r="J87" s="258"/>
      <c r="K87" s="579"/>
      <c r="L87" s="266">
        <v>46048</v>
      </c>
      <c r="M87" s="253">
        <f t="shared" si="80"/>
        <v>46048</v>
      </c>
      <c r="N87" s="373" t="s">
        <v>43</v>
      </c>
      <c r="O87" s="259" t="s">
        <v>746</v>
      </c>
      <c r="P87" s="259" t="s">
        <v>96</v>
      </c>
      <c r="Q87" s="260" t="s">
        <v>96</v>
      </c>
      <c r="R87" s="264"/>
      <c r="S87" s="297">
        <v>9.99</v>
      </c>
      <c r="T87" s="359">
        <f t="shared" si="91"/>
        <v>9.99</v>
      </c>
      <c r="U87" s="360"/>
      <c r="V87" s="265">
        <v>46048</v>
      </c>
      <c r="W87" s="301">
        <f t="shared" si="82"/>
        <v>46048</v>
      </c>
      <c r="X87" s="281">
        <f t="shared" si="76"/>
        <v>9.99</v>
      </c>
      <c r="Y87" s="296">
        <f t="shared" si="77"/>
        <v>0</v>
      </c>
      <c r="Z87" s="309" t="s">
        <v>447</v>
      </c>
      <c r="AA87" s="365" t="str">
        <f t="shared" si="83"/>
        <v>RABONA</v>
      </c>
      <c r="AB87" s="366" t="str">
        <f t="shared" si="78"/>
        <v>COMPLETED</v>
      </c>
      <c r="AC87" s="257"/>
      <c r="AD87" s="367"/>
      <c r="AE87" s="368">
        <f t="shared" si="86"/>
        <v>0</v>
      </c>
      <c r="AF87" s="313"/>
      <c r="AG87" s="369">
        <f t="shared" si="87"/>
        <v>0</v>
      </c>
      <c r="AH87" s="370">
        <f t="shared" si="88"/>
        <v>0</v>
      </c>
      <c r="AI87" s="313"/>
    </row>
    <row r="88" spans="1:36" s="172" customFormat="1" ht="56" hidden="1" customHeight="1" x14ac:dyDescent="0.25">
      <c r="A88" s="316"/>
      <c r="B88" s="290"/>
      <c r="C88" s="363" t="str">
        <f t="shared" si="79"/>
        <v>26/1/</v>
      </c>
      <c r="D88" s="364" t="s">
        <v>232</v>
      </c>
      <c r="E88" s="269" t="s">
        <v>446</v>
      </c>
      <c r="F88" s="269" t="s">
        <v>144</v>
      </c>
      <c r="G88" s="312" t="s">
        <v>39</v>
      </c>
      <c r="H88" s="534" t="s">
        <v>743</v>
      </c>
      <c r="I88" s="252"/>
      <c r="J88" s="258"/>
      <c r="K88" s="579"/>
      <c r="L88" s="266">
        <v>46043</v>
      </c>
      <c r="M88" s="253">
        <f t="shared" si="80"/>
        <v>46043</v>
      </c>
      <c r="N88" s="373" t="s">
        <v>742</v>
      </c>
      <c r="O88" s="259" t="s">
        <v>747</v>
      </c>
      <c r="P88" s="259" t="s">
        <v>61</v>
      </c>
      <c r="Q88" s="260" t="s">
        <v>115</v>
      </c>
      <c r="R88" s="264"/>
      <c r="S88" s="296">
        <v>85</v>
      </c>
      <c r="T88" s="359">
        <f t="shared" si="91"/>
        <v>85</v>
      </c>
      <c r="U88" s="360"/>
      <c r="V88" s="265">
        <v>46048</v>
      </c>
      <c r="W88" s="301">
        <f t="shared" si="82"/>
        <v>46048</v>
      </c>
      <c r="X88" s="281">
        <f t="shared" si="76"/>
        <v>85</v>
      </c>
      <c r="Y88" s="296">
        <f t="shared" si="77"/>
        <v>0</v>
      </c>
      <c r="Z88" s="309" t="s">
        <v>447</v>
      </c>
      <c r="AA88" s="365" t="str">
        <f t="shared" si="83"/>
        <v>RABONA</v>
      </c>
      <c r="AB88" s="366" t="str">
        <f t="shared" si="78"/>
        <v>COMPLETED</v>
      </c>
      <c r="AC88" s="257"/>
      <c r="AD88" s="367"/>
      <c r="AE88" s="368">
        <f t="shared" si="86"/>
        <v>0</v>
      </c>
      <c r="AF88" s="313"/>
      <c r="AG88" s="369">
        <f t="shared" si="87"/>
        <v>0</v>
      </c>
      <c r="AH88" s="370">
        <f t="shared" si="88"/>
        <v>0</v>
      </c>
      <c r="AI88" s="313"/>
    </row>
    <row r="89" spans="1:36" s="172" customFormat="1" ht="56" hidden="1" customHeight="1" x14ac:dyDescent="0.25">
      <c r="A89" s="316"/>
      <c r="B89" s="290"/>
      <c r="C89" s="363" t="str">
        <f t="shared" si="79"/>
        <v>26/1/</v>
      </c>
      <c r="D89" s="364" t="s">
        <v>233</v>
      </c>
      <c r="E89" s="269" t="s">
        <v>446</v>
      </c>
      <c r="F89" s="269" t="s">
        <v>144</v>
      </c>
      <c r="G89" s="312" t="s">
        <v>39</v>
      </c>
      <c r="H89" s="534" t="s">
        <v>748</v>
      </c>
      <c r="I89" s="252"/>
      <c r="J89" s="252"/>
      <c r="K89" s="574"/>
      <c r="L89" s="266">
        <v>46043</v>
      </c>
      <c r="M89" s="253">
        <f t="shared" si="80"/>
        <v>46043</v>
      </c>
      <c r="N89" s="373" t="s">
        <v>742</v>
      </c>
      <c r="O89" s="259" t="s">
        <v>747</v>
      </c>
      <c r="P89" s="259" t="s">
        <v>61</v>
      </c>
      <c r="Q89" s="260" t="s">
        <v>115</v>
      </c>
      <c r="R89" s="264"/>
      <c r="S89" s="804">
        <v>81</v>
      </c>
      <c r="T89" s="359">
        <f t="shared" si="91"/>
        <v>81</v>
      </c>
      <c r="U89" s="360"/>
      <c r="V89" s="265">
        <v>46048</v>
      </c>
      <c r="W89" s="301">
        <f t="shared" si="82"/>
        <v>46048</v>
      </c>
      <c r="X89" s="281">
        <f t="shared" si="76"/>
        <v>81</v>
      </c>
      <c r="Y89" s="296">
        <f t="shared" si="77"/>
        <v>0</v>
      </c>
      <c r="Z89" s="309" t="s">
        <v>447</v>
      </c>
      <c r="AA89" s="365" t="str">
        <f t="shared" si="83"/>
        <v>RABONA</v>
      </c>
      <c r="AB89" s="366" t="str">
        <f t="shared" si="78"/>
        <v>COMPLETED</v>
      </c>
      <c r="AC89" s="257"/>
      <c r="AD89" s="367"/>
      <c r="AE89" s="368">
        <f t="shared" si="86"/>
        <v>0</v>
      </c>
      <c r="AF89" s="313"/>
      <c r="AG89" s="369">
        <f t="shared" si="87"/>
        <v>0</v>
      </c>
      <c r="AH89" s="370">
        <f t="shared" si="88"/>
        <v>0</v>
      </c>
      <c r="AI89" s="313"/>
    </row>
    <row r="90" spans="1:36" s="172" customFormat="1" ht="56" hidden="1" customHeight="1" x14ac:dyDescent="0.25">
      <c r="A90" s="316"/>
      <c r="B90" s="290"/>
      <c r="C90" s="363" t="str">
        <f t="shared" si="79"/>
        <v>26/1/</v>
      </c>
      <c r="D90" s="364" t="s">
        <v>234</v>
      </c>
      <c r="E90" s="269" t="s">
        <v>446</v>
      </c>
      <c r="F90" s="269" t="s">
        <v>144</v>
      </c>
      <c r="G90" s="312" t="s">
        <v>39</v>
      </c>
      <c r="H90" s="314" t="s">
        <v>749</v>
      </c>
      <c r="I90" s="252"/>
      <c r="J90" s="252"/>
      <c r="K90" s="547"/>
      <c r="L90" s="261">
        <v>46049</v>
      </c>
      <c r="M90" s="253">
        <f t="shared" si="80"/>
        <v>46049</v>
      </c>
      <c r="N90" s="373" t="s">
        <v>622</v>
      </c>
      <c r="O90" s="259" t="s">
        <v>62</v>
      </c>
      <c r="P90" s="259" t="s">
        <v>62</v>
      </c>
      <c r="Q90" s="260" t="s">
        <v>115</v>
      </c>
      <c r="R90" s="255"/>
      <c r="S90" s="296">
        <v>55.19</v>
      </c>
      <c r="T90" s="357">
        <f t="shared" ref="T90:T96" si="92">S90</f>
        <v>55.19</v>
      </c>
      <c r="U90" s="358"/>
      <c r="V90" s="265">
        <v>46051</v>
      </c>
      <c r="W90" s="301">
        <f t="shared" si="82"/>
        <v>46051</v>
      </c>
      <c r="X90" s="281">
        <f t="shared" si="76"/>
        <v>55.19</v>
      </c>
      <c r="Y90" s="296">
        <f t="shared" si="77"/>
        <v>0</v>
      </c>
      <c r="Z90" s="309" t="s">
        <v>447</v>
      </c>
      <c r="AA90" s="365" t="str">
        <f t="shared" si="83"/>
        <v>RABONA</v>
      </c>
      <c r="AB90" s="366" t="str">
        <f t="shared" si="78"/>
        <v>COMPLETED</v>
      </c>
      <c r="AC90" s="257"/>
      <c r="AD90" s="367"/>
      <c r="AE90" s="368">
        <f t="shared" si="86"/>
        <v>0</v>
      </c>
      <c r="AF90" s="313"/>
      <c r="AG90" s="369">
        <f t="shared" si="87"/>
        <v>0</v>
      </c>
      <c r="AH90" s="370">
        <f t="shared" si="88"/>
        <v>0</v>
      </c>
      <c r="AI90" s="313"/>
    </row>
    <row r="91" spans="1:36" s="172" customFormat="1" ht="56" hidden="1" customHeight="1" x14ac:dyDescent="0.25">
      <c r="A91" s="316"/>
      <c r="B91" s="290"/>
      <c r="C91" s="363" t="str">
        <f t="shared" si="79"/>
        <v>26/1/</v>
      </c>
      <c r="D91" s="364" t="s">
        <v>235</v>
      </c>
      <c r="E91" s="269" t="s">
        <v>446</v>
      </c>
      <c r="F91" s="269" t="s">
        <v>144</v>
      </c>
      <c r="G91" s="312" t="s">
        <v>39</v>
      </c>
      <c r="H91" s="534"/>
      <c r="I91" s="252"/>
      <c r="J91" s="252"/>
      <c r="K91" s="574"/>
      <c r="L91" s="266">
        <v>46027</v>
      </c>
      <c r="M91" s="253">
        <f t="shared" si="80"/>
        <v>46027</v>
      </c>
      <c r="N91" s="373" t="s">
        <v>630</v>
      </c>
      <c r="O91" s="259" t="s">
        <v>631</v>
      </c>
      <c r="P91" s="259" t="s">
        <v>82</v>
      </c>
      <c r="Q91" s="260" t="s">
        <v>77</v>
      </c>
      <c r="R91" s="255"/>
      <c r="S91" s="296">
        <v>50</v>
      </c>
      <c r="T91" s="357">
        <f t="shared" si="92"/>
        <v>50</v>
      </c>
      <c r="U91" s="358"/>
      <c r="V91" s="265">
        <v>45968</v>
      </c>
      <c r="W91" s="301">
        <f t="shared" si="82"/>
        <v>45968</v>
      </c>
      <c r="X91" s="281">
        <f t="shared" si="76"/>
        <v>50</v>
      </c>
      <c r="Y91" s="296">
        <f t="shared" si="77"/>
        <v>0</v>
      </c>
      <c r="Z91" s="309" t="s">
        <v>447</v>
      </c>
      <c r="AA91" s="365" t="str">
        <f t="shared" si="83"/>
        <v>RABONA</v>
      </c>
      <c r="AB91" s="366" t="str">
        <f t="shared" si="78"/>
        <v>COMPLETED</v>
      </c>
      <c r="AC91" s="541"/>
      <c r="AD91" s="367"/>
      <c r="AE91" s="368">
        <f>IF(AA91=$AD$5,S91,0)</f>
        <v>0</v>
      </c>
      <c r="AF91" s="313"/>
      <c r="AG91" s="369">
        <f t="shared" si="87"/>
        <v>0</v>
      </c>
      <c r="AH91" s="370">
        <f t="shared" si="88"/>
        <v>0</v>
      </c>
      <c r="AI91" s="313"/>
    </row>
    <row r="92" spans="1:36" s="172" customFormat="1" ht="56" hidden="1" customHeight="1" x14ac:dyDescent="0.25">
      <c r="A92" s="316"/>
      <c r="B92" s="290"/>
      <c r="C92" s="363" t="str">
        <f t="shared" si="79"/>
        <v>26/1/</v>
      </c>
      <c r="D92" s="364" t="s">
        <v>236</v>
      </c>
      <c r="E92" s="269" t="s">
        <v>446</v>
      </c>
      <c r="F92" s="269" t="s">
        <v>144</v>
      </c>
      <c r="G92" s="312" t="s">
        <v>39</v>
      </c>
      <c r="H92" s="534"/>
      <c r="I92" s="252"/>
      <c r="J92" s="252"/>
      <c r="K92" s="547"/>
      <c r="L92" s="261">
        <v>46047</v>
      </c>
      <c r="M92" s="253">
        <f t="shared" si="80"/>
        <v>46047</v>
      </c>
      <c r="N92" s="254" t="s">
        <v>750</v>
      </c>
      <c r="O92" s="259" t="s">
        <v>137</v>
      </c>
      <c r="P92" s="259" t="s">
        <v>85</v>
      </c>
      <c r="Q92" s="260" t="s">
        <v>77</v>
      </c>
      <c r="R92" s="816"/>
      <c r="S92" s="296">
        <v>72.5</v>
      </c>
      <c r="T92" s="357">
        <f t="shared" si="92"/>
        <v>72.5</v>
      </c>
      <c r="U92" s="358"/>
      <c r="V92" s="265">
        <v>46049</v>
      </c>
      <c r="W92" s="301">
        <f t="shared" si="82"/>
        <v>46049</v>
      </c>
      <c r="X92" s="281">
        <f t="shared" si="76"/>
        <v>72.5</v>
      </c>
      <c r="Y92" s="296">
        <f t="shared" si="77"/>
        <v>0</v>
      </c>
      <c r="Z92" s="309" t="s">
        <v>447</v>
      </c>
      <c r="AA92" s="365" t="str">
        <f t="shared" si="83"/>
        <v>RABONA</v>
      </c>
      <c r="AB92" s="366" t="str">
        <f t="shared" si="78"/>
        <v>COMPLETED</v>
      </c>
      <c r="AC92" s="541"/>
      <c r="AD92" s="367"/>
      <c r="AE92" s="368">
        <f t="shared" si="86"/>
        <v>0</v>
      </c>
      <c r="AF92" s="313"/>
      <c r="AG92" s="369">
        <f t="shared" si="87"/>
        <v>0</v>
      </c>
      <c r="AH92" s="370">
        <f t="shared" si="88"/>
        <v>0</v>
      </c>
      <c r="AI92" s="313"/>
    </row>
    <row r="93" spans="1:36" s="172" customFormat="1" ht="56" hidden="1" customHeight="1" x14ac:dyDescent="0.25">
      <c r="A93" s="316"/>
      <c r="B93" s="290"/>
      <c r="C93" s="363" t="str">
        <f t="shared" si="79"/>
        <v>26/1/</v>
      </c>
      <c r="D93" s="364" t="s">
        <v>237</v>
      </c>
      <c r="E93" s="269" t="s">
        <v>446</v>
      </c>
      <c r="F93" s="269" t="s">
        <v>144</v>
      </c>
      <c r="G93" s="312" t="s">
        <v>39</v>
      </c>
      <c r="H93" s="314" t="s">
        <v>759</v>
      </c>
      <c r="I93" s="252"/>
      <c r="J93" s="258"/>
      <c r="K93" s="579"/>
      <c r="L93" s="266">
        <v>46048</v>
      </c>
      <c r="M93" s="253">
        <f t="shared" si="80"/>
        <v>46048</v>
      </c>
      <c r="N93" s="254" t="s">
        <v>751</v>
      </c>
      <c r="O93" s="259" t="s">
        <v>62</v>
      </c>
      <c r="P93" s="259" t="s">
        <v>62</v>
      </c>
      <c r="Q93" s="260" t="s">
        <v>115</v>
      </c>
      <c r="R93" s="264"/>
      <c r="S93" s="297">
        <v>22.3</v>
      </c>
      <c r="T93" s="359">
        <f t="shared" si="92"/>
        <v>22.3</v>
      </c>
      <c r="U93" s="360"/>
      <c r="V93" s="265">
        <v>28.1</v>
      </c>
      <c r="W93" s="301">
        <f t="shared" si="82"/>
        <v>28.1</v>
      </c>
      <c r="X93" s="281">
        <f t="shared" si="76"/>
        <v>22.3</v>
      </c>
      <c r="Y93" s="296">
        <f t="shared" si="77"/>
        <v>0</v>
      </c>
      <c r="Z93" s="309" t="s">
        <v>447</v>
      </c>
      <c r="AA93" s="365" t="str">
        <f t="shared" si="83"/>
        <v>RABONA</v>
      </c>
      <c r="AB93" s="366" t="str">
        <f t="shared" si="78"/>
        <v>COMPLETED</v>
      </c>
      <c r="AC93" s="541"/>
      <c r="AD93" s="367"/>
      <c r="AE93" s="368">
        <f t="shared" si="86"/>
        <v>0</v>
      </c>
      <c r="AF93" s="313"/>
      <c r="AG93" s="369">
        <f t="shared" si="87"/>
        <v>0</v>
      </c>
      <c r="AH93" s="370">
        <f t="shared" si="88"/>
        <v>0</v>
      </c>
      <c r="AI93" s="313"/>
      <c r="AJ93" s="536"/>
    </row>
    <row r="94" spans="1:36" s="172" customFormat="1" ht="56" hidden="1" customHeight="1" x14ac:dyDescent="0.25">
      <c r="A94" s="316"/>
      <c r="B94" s="290"/>
      <c r="C94" s="363" t="str">
        <f t="shared" si="79"/>
        <v>26/1/</v>
      </c>
      <c r="D94" s="364" t="s">
        <v>238</v>
      </c>
      <c r="E94" s="269" t="s">
        <v>446</v>
      </c>
      <c r="F94" s="269" t="s">
        <v>144</v>
      </c>
      <c r="G94" s="312" t="s">
        <v>39</v>
      </c>
      <c r="H94" s="534" t="s">
        <v>752</v>
      </c>
      <c r="I94" s="252"/>
      <c r="J94" s="252"/>
      <c r="K94" s="574"/>
      <c r="L94" s="266">
        <v>46049</v>
      </c>
      <c r="M94" s="253">
        <f t="shared" si="80"/>
        <v>46049</v>
      </c>
      <c r="N94" s="254" t="s">
        <v>732</v>
      </c>
      <c r="O94" s="259" t="s">
        <v>62</v>
      </c>
      <c r="P94" s="259" t="s">
        <v>62</v>
      </c>
      <c r="Q94" s="260" t="s">
        <v>115</v>
      </c>
      <c r="R94" s="255"/>
      <c r="S94" s="296">
        <v>49.54</v>
      </c>
      <c r="T94" s="357">
        <f t="shared" si="92"/>
        <v>49.54</v>
      </c>
      <c r="U94" s="358"/>
      <c r="V94" s="265">
        <v>46051</v>
      </c>
      <c r="W94" s="301">
        <f t="shared" si="82"/>
        <v>46051</v>
      </c>
      <c r="X94" s="281">
        <f t="shared" si="76"/>
        <v>49.54</v>
      </c>
      <c r="Y94" s="296">
        <f t="shared" si="77"/>
        <v>0</v>
      </c>
      <c r="Z94" s="309" t="s">
        <v>447</v>
      </c>
      <c r="AA94" s="365" t="str">
        <f t="shared" si="83"/>
        <v>RABONA</v>
      </c>
      <c r="AB94" s="366" t="str">
        <f t="shared" si="78"/>
        <v>COMPLETED</v>
      </c>
      <c r="AC94" s="541"/>
      <c r="AD94" s="367"/>
      <c r="AE94" s="368">
        <f t="shared" si="86"/>
        <v>0</v>
      </c>
      <c r="AF94" s="313"/>
      <c r="AG94" s="369">
        <f t="shared" si="87"/>
        <v>0</v>
      </c>
      <c r="AH94" s="370">
        <f t="shared" si="88"/>
        <v>0</v>
      </c>
      <c r="AI94" s="313"/>
    </row>
    <row r="95" spans="1:36" s="172" customFormat="1" ht="56" hidden="1" customHeight="1" x14ac:dyDescent="0.25">
      <c r="A95" s="316"/>
      <c r="B95" s="290"/>
      <c r="C95" s="363" t="str">
        <f t="shared" si="79"/>
        <v>26/1/</v>
      </c>
      <c r="D95" s="364" t="s">
        <v>239</v>
      </c>
      <c r="E95" s="269" t="s">
        <v>446</v>
      </c>
      <c r="F95" s="576" t="s">
        <v>144</v>
      </c>
      <c r="G95" s="312" t="s">
        <v>24</v>
      </c>
      <c r="H95" s="534"/>
      <c r="I95" s="817"/>
      <c r="J95" s="817"/>
      <c r="K95" s="818"/>
      <c r="L95" s="819">
        <v>46050</v>
      </c>
      <c r="M95" s="253">
        <f t="shared" si="80"/>
        <v>46050</v>
      </c>
      <c r="N95" s="254" t="s">
        <v>760</v>
      </c>
      <c r="O95" s="259" t="s">
        <v>140</v>
      </c>
      <c r="P95" s="259" t="s">
        <v>697</v>
      </c>
      <c r="Q95" s="260" t="s">
        <v>121</v>
      </c>
      <c r="R95" s="264"/>
      <c r="S95" s="296">
        <v>207</v>
      </c>
      <c r="T95" s="357">
        <f t="shared" si="92"/>
        <v>207</v>
      </c>
      <c r="U95" s="358"/>
      <c r="V95" s="265">
        <v>46050</v>
      </c>
      <c r="W95" s="301">
        <f t="shared" si="82"/>
        <v>46050</v>
      </c>
      <c r="X95" s="281">
        <f t="shared" si="76"/>
        <v>207</v>
      </c>
      <c r="Y95" s="296">
        <f t="shared" si="77"/>
        <v>0</v>
      </c>
      <c r="Z95" s="309" t="s">
        <v>447</v>
      </c>
      <c r="AA95" s="365" t="str">
        <f t="shared" si="83"/>
        <v>SHARE HOLDER</v>
      </c>
      <c r="AB95" s="366" t="str">
        <f>IF(Y95&gt;0,"+Q41:AB41PENDING EXECUTION","COMPLETED")</f>
        <v>COMPLETED</v>
      </c>
      <c r="AC95" s="541"/>
      <c r="AD95" s="367"/>
      <c r="AE95" s="368">
        <f t="shared" si="86"/>
        <v>0</v>
      </c>
      <c r="AF95" s="313"/>
      <c r="AG95" s="369">
        <f t="shared" si="87"/>
        <v>0</v>
      </c>
      <c r="AH95" s="370">
        <f t="shared" si="88"/>
        <v>207</v>
      </c>
      <c r="AI95" s="313" t="s">
        <v>23</v>
      </c>
    </row>
    <row r="96" spans="1:36" s="172" customFormat="1" ht="56" hidden="1" customHeight="1" x14ac:dyDescent="0.25">
      <c r="A96" s="316"/>
      <c r="B96" s="290"/>
      <c r="C96" s="363" t="str">
        <f t="shared" si="79"/>
        <v>26/1/</v>
      </c>
      <c r="D96" s="364" t="s">
        <v>240</v>
      </c>
      <c r="E96" s="269" t="s">
        <v>446</v>
      </c>
      <c r="F96" s="576" t="s">
        <v>144</v>
      </c>
      <c r="G96" s="312" t="s">
        <v>39</v>
      </c>
      <c r="H96" s="314"/>
      <c r="I96" s="252"/>
      <c r="J96" s="252"/>
      <c r="K96" s="547"/>
      <c r="L96" s="261">
        <v>46051</v>
      </c>
      <c r="M96" s="253">
        <f t="shared" si="80"/>
        <v>46051</v>
      </c>
      <c r="N96" s="254" t="s">
        <v>43</v>
      </c>
      <c r="O96" s="259" t="s">
        <v>761</v>
      </c>
      <c r="P96" s="259" t="s">
        <v>96</v>
      </c>
      <c r="Q96" s="260" t="s">
        <v>96</v>
      </c>
      <c r="R96" s="545"/>
      <c r="S96" s="802">
        <v>8</v>
      </c>
      <c r="T96" s="357">
        <f t="shared" si="92"/>
        <v>8</v>
      </c>
      <c r="U96" s="358"/>
      <c r="V96" s="265">
        <v>46051</v>
      </c>
      <c r="W96" s="301">
        <f t="shared" si="82"/>
        <v>46051</v>
      </c>
      <c r="X96" s="281">
        <f t="shared" si="76"/>
        <v>8</v>
      </c>
      <c r="Y96" s="296">
        <f t="shared" si="77"/>
        <v>0</v>
      </c>
      <c r="Z96" s="309" t="s">
        <v>42</v>
      </c>
      <c r="AA96" s="365" t="str">
        <f t="shared" si="83"/>
        <v>RABONA</v>
      </c>
      <c r="AB96" s="366" t="str">
        <f t="shared" ref="AB96" si="93">IF(Y96&gt;0,"PENDING EXECUTION","COMPLETED")</f>
        <v>COMPLETED</v>
      </c>
      <c r="AC96" s="541"/>
      <c r="AD96" s="367"/>
      <c r="AE96" s="368">
        <f>IF(AA96=$AD$5,S96,0)</f>
        <v>0</v>
      </c>
      <c r="AF96" s="313"/>
      <c r="AG96" s="369">
        <f t="shared" si="87"/>
        <v>0</v>
      </c>
      <c r="AH96" s="370">
        <f t="shared" si="88"/>
        <v>0</v>
      </c>
      <c r="AI96" s="313"/>
    </row>
    <row r="97" spans="1:35" s="172" customFormat="1" ht="56" hidden="1" customHeight="1" x14ac:dyDescent="0.25">
      <c r="A97" s="316"/>
      <c r="B97" s="290"/>
      <c r="C97" s="363" t="str">
        <f t="shared" si="79"/>
        <v>26/1/</v>
      </c>
      <c r="D97" s="364" t="s">
        <v>241</v>
      </c>
      <c r="E97" s="269" t="s">
        <v>446</v>
      </c>
      <c r="F97" s="576" t="s">
        <v>144</v>
      </c>
      <c r="G97" s="312" t="s">
        <v>24</v>
      </c>
      <c r="H97" s="534"/>
      <c r="I97" s="803"/>
      <c r="J97" s="252"/>
      <c r="K97" s="543"/>
      <c r="L97" s="261">
        <v>46052</v>
      </c>
      <c r="M97" s="253">
        <f t="shared" si="80"/>
        <v>46052</v>
      </c>
      <c r="N97" s="254" t="s">
        <v>43</v>
      </c>
      <c r="O97" s="259" t="s">
        <v>745</v>
      </c>
      <c r="P97" s="259" t="s">
        <v>697</v>
      </c>
      <c r="Q97" s="260" t="s">
        <v>121</v>
      </c>
      <c r="R97" s="820"/>
      <c r="S97" s="296">
        <v>1000</v>
      </c>
      <c r="T97" s="357">
        <f t="shared" ref="T97:T98" si="94">S97</f>
        <v>1000</v>
      </c>
      <c r="U97" s="358"/>
      <c r="V97" s="265">
        <v>46052</v>
      </c>
      <c r="W97" s="301">
        <f t="shared" si="82"/>
        <v>46052</v>
      </c>
      <c r="X97" s="281">
        <f t="shared" si="76"/>
        <v>1000</v>
      </c>
      <c r="Y97" s="296">
        <f t="shared" si="77"/>
        <v>0</v>
      </c>
      <c r="Z97" s="309" t="s">
        <v>447</v>
      </c>
      <c r="AA97" s="365" t="str">
        <f t="shared" si="83"/>
        <v>SHARE HOLDER</v>
      </c>
      <c r="AB97" s="366" t="str">
        <f t="shared" si="78"/>
        <v>COMPLETED</v>
      </c>
      <c r="AC97" s="541"/>
      <c r="AD97" s="367"/>
      <c r="AE97" s="368">
        <f t="shared" si="86"/>
        <v>0</v>
      </c>
      <c r="AF97" s="617"/>
      <c r="AG97" s="369">
        <f t="shared" si="87"/>
        <v>0</v>
      </c>
      <c r="AH97" s="370">
        <f t="shared" si="88"/>
        <v>1000</v>
      </c>
      <c r="AI97" s="313" t="s">
        <v>23</v>
      </c>
    </row>
    <row r="98" spans="1:35" s="172" customFormat="1" ht="56" hidden="1" customHeight="1" x14ac:dyDescent="0.25">
      <c r="A98" s="316"/>
      <c r="B98" s="290"/>
      <c r="C98" s="363" t="str">
        <f t="shared" si="79"/>
        <v>26/1/</v>
      </c>
      <c r="D98" s="364" t="s">
        <v>242</v>
      </c>
      <c r="E98" s="269" t="s">
        <v>446</v>
      </c>
      <c r="F98" s="576" t="s">
        <v>144</v>
      </c>
      <c r="G98" s="312" t="s">
        <v>39</v>
      </c>
      <c r="H98" s="534"/>
      <c r="I98" s="803"/>
      <c r="J98" s="252"/>
      <c r="K98" s="313"/>
      <c r="L98" s="261">
        <v>46052</v>
      </c>
      <c r="M98" s="253">
        <f t="shared" si="80"/>
        <v>46052</v>
      </c>
      <c r="N98" s="254" t="s">
        <v>43</v>
      </c>
      <c r="O98" s="259" t="s">
        <v>746</v>
      </c>
      <c r="P98" s="259" t="s">
        <v>96</v>
      </c>
      <c r="Q98" s="260" t="s">
        <v>96</v>
      </c>
      <c r="R98" s="820"/>
      <c r="S98" s="296">
        <v>33.299999999999997</v>
      </c>
      <c r="T98" s="357">
        <f t="shared" si="94"/>
        <v>33.299999999999997</v>
      </c>
      <c r="U98" s="358"/>
      <c r="V98" s="265">
        <v>46052</v>
      </c>
      <c r="W98" s="301">
        <f t="shared" si="82"/>
        <v>46052</v>
      </c>
      <c r="X98" s="281">
        <f t="shared" si="76"/>
        <v>33.299999999999997</v>
      </c>
      <c r="Y98" s="296">
        <f t="shared" si="77"/>
        <v>0</v>
      </c>
      <c r="Z98" s="309" t="s">
        <v>447</v>
      </c>
      <c r="AA98" s="365" t="str">
        <f t="shared" si="83"/>
        <v>RABONA</v>
      </c>
      <c r="AB98" s="366" t="str">
        <f t="shared" si="78"/>
        <v>COMPLETED</v>
      </c>
      <c r="AC98" s="541"/>
      <c r="AD98" s="367"/>
      <c r="AE98" s="368">
        <f t="shared" si="86"/>
        <v>0</v>
      </c>
      <c r="AF98" s="617"/>
      <c r="AG98" s="369">
        <f t="shared" si="87"/>
        <v>0</v>
      </c>
      <c r="AH98" s="370">
        <f t="shared" si="88"/>
        <v>0</v>
      </c>
      <c r="AI98" s="313"/>
    </row>
    <row r="99" spans="1:35" s="172" customFormat="1" ht="56" hidden="1" customHeight="1" x14ac:dyDescent="0.25">
      <c r="A99" s="316"/>
      <c r="B99" s="290"/>
      <c r="C99" s="363" t="str">
        <f t="shared" si="79"/>
        <v>26/1/</v>
      </c>
      <c r="D99" s="364" t="s">
        <v>243</v>
      </c>
      <c r="E99" s="269" t="s">
        <v>446</v>
      </c>
      <c r="F99" s="576" t="s">
        <v>144</v>
      </c>
      <c r="G99" s="312" t="s">
        <v>39</v>
      </c>
      <c r="H99" s="314" t="s">
        <v>764</v>
      </c>
      <c r="I99" s="252"/>
      <c r="J99" s="252"/>
      <c r="K99" s="313"/>
      <c r="L99" s="261">
        <v>46386</v>
      </c>
      <c r="M99" s="253">
        <f t="shared" si="80"/>
        <v>46386</v>
      </c>
      <c r="N99" s="373" t="s">
        <v>693</v>
      </c>
      <c r="O99" s="259" t="s">
        <v>765</v>
      </c>
      <c r="P99" s="590" t="s">
        <v>60</v>
      </c>
      <c r="Q99" s="591" t="s">
        <v>115</v>
      </c>
      <c r="R99" s="820"/>
      <c r="S99" s="296">
        <v>200</v>
      </c>
      <c r="T99" s="821">
        <f>S99</f>
        <v>200</v>
      </c>
      <c r="U99" s="822"/>
      <c r="V99" s="265">
        <v>46029</v>
      </c>
      <c r="W99" s="301">
        <f t="shared" si="82"/>
        <v>46029</v>
      </c>
      <c r="X99" s="281">
        <f t="shared" ref="X99" si="95">T99+U99</f>
        <v>200</v>
      </c>
      <c r="Y99" s="296">
        <f t="shared" ref="Y99" si="96">S99-X99</f>
        <v>0</v>
      </c>
      <c r="Z99" s="309" t="s">
        <v>447</v>
      </c>
      <c r="AA99" s="365" t="str">
        <f t="shared" si="83"/>
        <v>RABONA</v>
      </c>
      <c r="AB99" s="366" t="str">
        <f t="shared" ref="AB99" si="97">IF(Y99&gt;0,"PENDING EXECUTION","COMPLETED")</f>
        <v>COMPLETED</v>
      </c>
      <c r="AC99" s="541"/>
      <c r="AD99" s="367"/>
      <c r="AE99" s="368">
        <f t="shared" ref="AE99" si="98">IF(AA99=$AD$5,S99,0)</f>
        <v>0</v>
      </c>
      <c r="AF99" s="313"/>
      <c r="AG99" s="369">
        <f t="shared" ref="AG99" si="99">IF(Z99=$AG$5,X99,0)</f>
        <v>0</v>
      </c>
      <c r="AH99" s="370">
        <f t="shared" ref="AH99" si="100">IF(AA99=$AH$5,X99,0)</f>
        <v>0</v>
      </c>
      <c r="AI99" s="313"/>
    </row>
    <row r="100" spans="1:35" s="172" customFormat="1" ht="56" hidden="1" customHeight="1" x14ac:dyDescent="0.25">
      <c r="A100" s="316"/>
      <c r="B100" s="290"/>
      <c r="C100" s="363" t="str">
        <f t="shared" si="79"/>
        <v>26/1/</v>
      </c>
      <c r="D100" s="364" t="s">
        <v>244</v>
      </c>
      <c r="E100" s="269" t="s">
        <v>446</v>
      </c>
      <c r="F100" s="576" t="s">
        <v>144</v>
      </c>
      <c r="G100" s="312" t="s">
        <v>39</v>
      </c>
      <c r="H100" s="534"/>
      <c r="I100" s="803"/>
      <c r="J100" s="817"/>
      <c r="K100" s="823"/>
      <c r="L100" s="819">
        <v>46028</v>
      </c>
      <c r="M100" s="253">
        <f t="shared" si="80"/>
        <v>46028</v>
      </c>
      <c r="N100" s="254" t="s">
        <v>766</v>
      </c>
      <c r="O100" s="590" t="s">
        <v>137</v>
      </c>
      <c r="P100" s="590" t="s">
        <v>85</v>
      </c>
      <c r="Q100" s="591" t="s">
        <v>77</v>
      </c>
      <c r="R100" s="820"/>
      <c r="S100" s="297">
        <v>47.34</v>
      </c>
      <c r="T100" s="821">
        <f>S100</f>
        <v>47.34</v>
      </c>
      <c r="U100" s="822"/>
      <c r="V100" s="265">
        <v>46030</v>
      </c>
      <c r="W100" s="301">
        <f t="shared" si="82"/>
        <v>46030</v>
      </c>
      <c r="X100" s="281">
        <f t="shared" si="76"/>
        <v>47.34</v>
      </c>
      <c r="Y100" s="296">
        <f t="shared" si="77"/>
        <v>0</v>
      </c>
      <c r="Z100" s="309" t="s">
        <v>447</v>
      </c>
      <c r="AA100" s="365" t="str">
        <f t="shared" si="83"/>
        <v>RABONA</v>
      </c>
      <c r="AB100" s="366" t="str">
        <f t="shared" si="78"/>
        <v>COMPLETED</v>
      </c>
      <c r="AC100" s="824"/>
      <c r="AD100" s="367"/>
      <c r="AE100" s="368">
        <f t="shared" si="86"/>
        <v>0</v>
      </c>
      <c r="AF100" s="617"/>
      <c r="AG100" s="369">
        <f t="shared" si="87"/>
        <v>0</v>
      </c>
      <c r="AH100" s="370">
        <f t="shared" si="88"/>
        <v>0</v>
      </c>
      <c r="AI100" s="313"/>
    </row>
    <row r="101" spans="1:35" s="172" customFormat="1" ht="56" hidden="1" customHeight="1" x14ac:dyDescent="0.25">
      <c r="A101" s="316"/>
      <c r="B101" s="290"/>
      <c r="C101" s="363" t="str">
        <f t="shared" si="79"/>
        <v>26/1/</v>
      </c>
      <c r="D101" s="364" t="s">
        <v>245</v>
      </c>
      <c r="E101" s="269" t="s">
        <v>446</v>
      </c>
      <c r="F101" s="576" t="s">
        <v>144</v>
      </c>
      <c r="G101" s="312" t="s">
        <v>39</v>
      </c>
      <c r="H101" s="534"/>
      <c r="I101" s="803"/>
      <c r="J101" s="258"/>
      <c r="K101" s="814"/>
      <c r="L101" s="266">
        <v>46032</v>
      </c>
      <c r="M101" s="253">
        <f t="shared" si="80"/>
        <v>46032</v>
      </c>
      <c r="N101" s="373" t="s">
        <v>632</v>
      </c>
      <c r="O101" s="259" t="s">
        <v>633</v>
      </c>
      <c r="P101" s="590" t="s">
        <v>87</v>
      </c>
      <c r="Q101" s="591" t="s">
        <v>77</v>
      </c>
      <c r="R101" s="820"/>
      <c r="S101" s="297">
        <v>101.25</v>
      </c>
      <c r="T101" s="821">
        <f t="shared" ref="T101:T126" si="101">S101</f>
        <v>101.25</v>
      </c>
      <c r="U101" s="822"/>
      <c r="V101" s="265">
        <v>46034</v>
      </c>
      <c r="W101" s="301">
        <f t="shared" si="82"/>
        <v>46034</v>
      </c>
      <c r="X101" s="281">
        <f t="shared" si="76"/>
        <v>101.25</v>
      </c>
      <c r="Y101" s="296">
        <f t="shared" si="77"/>
        <v>0</v>
      </c>
      <c r="Z101" s="309" t="s">
        <v>447</v>
      </c>
      <c r="AA101" s="365" t="str">
        <f t="shared" si="83"/>
        <v>RABONA</v>
      </c>
      <c r="AB101" s="366" t="str">
        <f t="shared" si="78"/>
        <v>COMPLETED</v>
      </c>
      <c r="AC101" s="824"/>
      <c r="AD101" s="367"/>
      <c r="AE101" s="368">
        <f t="shared" si="86"/>
        <v>0</v>
      </c>
      <c r="AF101" s="617"/>
      <c r="AG101" s="369">
        <f t="shared" si="87"/>
        <v>0</v>
      </c>
      <c r="AH101" s="370">
        <f t="shared" si="88"/>
        <v>0</v>
      </c>
      <c r="AI101" s="313"/>
    </row>
    <row r="102" spans="1:35" s="172" customFormat="1" ht="56" hidden="1" customHeight="1" x14ac:dyDescent="0.25">
      <c r="A102" s="316"/>
      <c r="B102" s="290"/>
      <c r="C102" s="363" t="str">
        <f t="shared" si="79"/>
        <v>26/1/</v>
      </c>
      <c r="D102" s="364" t="s">
        <v>246</v>
      </c>
      <c r="E102" s="269" t="s">
        <v>446</v>
      </c>
      <c r="F102" s="576" t="s">
        <v>144</v>
      </c>
      <c r="G102" s="312" t="s">
        <v>39</v>
      </c>
      <c r="H102" s="314" t="s">
        <v>648</v>
      </c>
      <c r="I102" s="803"/>
      <c r="J102" s="252"/>
      <c r="K102" s="574"/>
      <c r="L102" s="261">
        <v>46043</v>
      </c>
      <c r="M102" s="253">
        <f t="shared" si="80"/>
        <v>46043</v>
      </c>
      <c r="N102" s="535" t="s">
        <v>643</v>
      </c>
      <c r="O102" s="259" t="s">
        <v>644</v>
      </c>
      <c r="P102" s="590" t="s">
        <v>60</v>
      </c>
      <c r="Q102" s="591" t="s">
        <v>115</v>
      </c>
      <c r="R102" s="264"/>
      <c r="S102" s="297">
        <v>25</v>
      </c>
      <c r="T102" s="821">
        <f>S102</f>
        <v>25</v>
      </c>
      <c r="U102" s="822"/>
      <c r="V102" s="265">
        <v>46045</v>
      </c>
      <c r="W102" s="301">
        <f t="shared" si="82"/>
        <v>46045</v>
      </c>
      <c r="X102" s="281">
        <f>T102+U102</f>
        <v>25</v>
      </c>
      <c r="Y102" s="296">
        <f t="shared" si="77"/>
        <v>0</v>
      </c>
      <c r="Z102" s="309" t="s">
        <v>447</v>
      </c>
      <c r="AA102" s="365" t="str">
        <f t="shared" si="83"/>
        <v>RABONA</v>
      </c>
      <c r="AB102" s="366" t="str">
        <f t="shared" si="78"/>
        <v>COMPLETED</v>
      </c>
      <c r="AC102" s="541"/>
      <c r="AD102" s="367"/>
      <c r="AE102" s="368">
        <f t="shared" si="86"/>
        <v>0</v>
      </c>
      <c r="AF102" s="617"/>
      <c r="AG102" s="369">
        <f t="shared" si="87"/>
        <v>0</v>
      </c>
      <c r="AH102" s="370">
        <f t="shared" si="88"/>
        <v>0</v>
      </c>
      <c r="AI102" s="313"/>
    </row>
    <row r="103" spans="1:35" s="172" customFormat="1" ht="56" hidden="1" customHeight="1" x14ac:dyDescent="0.25">
      <c r="A103" s="316"/>
      <c r="B103" s="290"/>
      <c r="C103" s="363" t="str">
        <f t="shared" si="79"/>
        <v>26/1/</v>
      </c>
      <c r="D103" s="364" t="s">
        <v>247</v>
      </c>
      <c r="E103" s="269" t="s">
        <v>446</v>
      </c>
      <c r="F103" s="576" t="s">
        <v>144</v>
      </c>
      <c r="G103" s="312" t="s">
        <v>18</v>
      </c>
      <c r="H103" s="534" t="s">
        <v>639</v>
      </c>
      <c r="I103" s="803" t="s">
        <v>640</v>
      </c>
      <c r="J103" s="252"/>
      <c r="K103" s="313"/>
      <c r="L103" s="261">
        <v>46043</v>
      </c>
      <c r="M103" s="253">
        <f t="shared" si="80"/>
        <v>46043</v>
      </c>
      <c r="N103" s="535" t="s">
        <v>649</v>
      </c>
      <c r="O103" s="259" t="s">
        <v>644</v>
      </c>
      <c r="P103" s="590" t="s">
        <v>60</v>
      </c>
      <c r="Q103" s="591" t="s">
        <v>115</v>
      </c>
      <c r="R103" s="820"/>
      <c r="S103" s="297">
        <v>114.1</v>
      </c>
      <c r="T103" s="821">
        <f t="shared" si="101"/>
        <v>114.1</v>
      </c>
      <c r="U103" s="822"/>
      <c r="V103" s="265">
        <v>46043</v>
      </c>
      <c r="W103" s="301">
        <f t="shared" si="82"/>
        <v>46043</v>
      </c>
      <c r="X103" s="281">
        <f>T103+U103</f>
        <v>114.1</v>
      </c>
      <c r="Y103" s="296">
        <f t="shared" si="77"/>
        <v>0</v>
      </c>
      <c r="Z103" s="309" t="s">
        <v>447</v>
      </c>
      <c r="AA103" s="365" t="str">
        <f t="shared" si="83"/>
        <v>REIMBURSE</v>
      </c>
      <c r="AB103" s="366" t="str">
        <f t="shared" si="78"/>
        <v>COMPLETED</v>
      </c>
      <c r="AC103" s="541"/>
      <c r="AD103" s="367" t="s">
        <v>647</v>
      </c>
      <c r="AE103" s="368">
        <f t="shared" si="86"/>
        <v>114.1</v>
      </c>
      <c r="AF103" s="313"/>
      <c r="AG103" s="369">
        <f t="shared" si="87"/>
        <v>0</v>
      </c>
      <c r="AH103" s="370">
        <f t="shared" si="88"/>
        <v>0</v>
      </c>
      <c r="AI103" s="313"/>
    </row>
    <row r="104" spans="1:35" s="172" customFormat="1" ht="56" hidden="1" customHeight="1" x14ac:dyDescent="0.25">
      <c r="A104" s="316"/>
      <c r="B104" s="645"/>
      <c r="C104" s="646" t="str">
        <f t="shared" si="79"/>
        <v>26/1/</v>
      </c>
      <c r="D104" s="647" t="s">
        <v>248</v>
      </c>
      <c r="E104" s="649" t="s">
        <v>542</v>
      </c>
      <c r="F104" s="648" t="s">
        <v>144</v>
      </c>
      <c r="G104" s="650" t="s">
        <v>18</v>
      </c>
      <c r="H104" s="673" t="s">
        <v>641</v>
      </c>
      <c r="I104" s="697" t="s">
        <v>642</v>
      </c>
      <c r="J104" s="652"/>
      <c r="K104" s="675"/>
      <c r="L104" s="654">
        <v>46040</v>
      </c>
      <c r="M104" s="655">
        <f t="shared" si="80"/>
        <v>46040</v>
      </c>
      <c r="N104" s="674" t="s">
        <v>645</v>
      </c>
      <c r="O104" s="657" t="s">
        <v>646</v>
      </c>
      <c r="P104" s="657" t="s">
        <v>61</v>
      </c>
      <c r="Q104" s="676" t="s">
        <v>115</v>
      </c>
      <c r="R104" s="691"/>
      <c r="S104" s="677">
        <v>237</v>
      </c>
      <c r="T104" s="692">
        <f t="shared" si="101"/>
        <v>237</v>
      </c>
      <c r="U104" s="693"/>
      <c r="V104" s="690">
        <v>46040</v>
      </c>
      <c r="W104" s="663">
        <f t="shared" si="82"/>
        <v>46040</v>
      </c>
      <c r="X104" s="664">
        <f t="shared" si="76"/>
        <v>237</v>
      </c>
      <c r="Y104" s="660">
        <f t="shared" si="77"/>
        <v>0</v>
      </c>
      <c r="Z104" s="665" t="s">
        <v>14</v>
      </c>
      <c r="AA104" s="666" t="str">
        <f t="shared" si="83"/>
        <v>REIMBURSE</v>
      </c>
      <c r="AB104" s="667" t="str">
        <f t="shared" si="78"/>
        <v>COMPLETED</v>
      </c>
      <c r="AC104" s="682"/>
      <c r="AD104" s="669" t="s">
        <v>647</v>
      </c>
      <c r="AE104" s="670">
        <f t="shared" si="86"/>
        <v>237</v>
      </c>
      <c r="AF104" s="683"/>
      <c r="AG104" s="671">
        <f t="shared" si="87"/>
        <v>237</v>
      </c>
      <c r="AH104" s="672">
        <f t="shared" si="88"/>
        <v>0</v>
      </c>
      <c r="AI104" s="653" t="s">
        <v>104</v>
      </c>
    </row>
    <row r="105" spans="1:35" s="172" customFormat="1" ht="56" hidden="1" customHeight="1" x14ac:dyDescent="0.25">
      <c r="A105" s="316"/>
      <c r="B105" s="645"/>
      <c r="C105" s="646" t="str">
        <f t="shared" si="79"/>
        <v>26/1/</v>
      </c>
      <c r="D105" s="647" t="s">
        <v>249</v>
      </c>
      <c r="E105" s="649" t="s">
        <v>542</v>
      </c>
      <c r="F105" s="648" t="s">
        <v>144</v>
      </c>
      <c r="G105" s="779" t="s">
        <v>18</v>
      </c>
      <c r="H105" s="651" t="s">
        <v>648</v>
      </c>
      <c r="I105" s="697" t="s">
        <v>650</v>
      </c>
      <c r="J105" s="652"/>
      <c r="K105" s="689"/>
      <c r="L105" s="654">
        <v>46044</v>
      </c>
      <c r="M105" s="655">
        <f t="shared" si="80"/>
        <v>46044</v>
      </c>
      <c r="N105" s="674" t="s">
        <v>551</v>
      </c>
      <c r="O105" s="657" t="s">
        <v>134</v>
      </c>
      <c r="P105" s="657" t="s">
        <v>60</v>
      </c>
      <c r="Q105" s="676" t="s">
        <v>115</v>
      </c>
      <c r="R105" s="780"/>
      <c r="S105" s="677">
        <v>46.14</v>
      </c>
      <c r="T105" s="692">
        <f t="shared" si="101"/>
        <v>46.14</v>
      </c>
      <c r="U105" s="693"/>
      <c r="V105" s="690">
        <f>L105</f>
        <v>46044</v>
      </c>
      <c r="W105" s="663">
        <f t="shared" si="82"/>
        <v>46044</v>
      </c>
      <c r="X105" s="664">
        <f t="shared" si="76"/>
        <v>46.14</v>
      </c>
      <c r="Y105" s="660">
        <f t="shared" si="77"/>
        <v>0</v>
      </c>
      <c r="Z105" s="781" t="s">
        <v>14</v>
      </c>
      <c r="AA105" s="666" t="str">
        <f t="shared" si="83"/>
        <v>REIMBURSE</v>
      </c>
      <c r="AB105" s="667" t="str">
        <f t="shared" si="78"/>
        <v>COMPLETED</v>
      </c>
      <c r="AC105" s="668"/>
      <c r="AD105" s="669" t="s">
        <v>353</v>
      </c>
      <c r="AE105" s="670">
        <f t="shared" si="86"/>
        <v>46.14</v>
      </c>
      <c r="AF105" s="683"/>
      <c r="AG105" s="671">
        <f t="shared" si="87"/>
        <v>46.14</v>
      </c>
      <c r="AH105" s="672">
        <f t="shared" si="88"/>
        <v>0</v>
      </c>
      <c r="AI105" s="653" t="s">
        <v>58</v>
      </c>
    </row>
    <row r="106" spans="1:35" s="172" customFormat="1" ht="56" hidden="1" customHeight="1" x14ac:dyDescent="0.25">
      <c r="A106" s="316"/>
      <c r="B106" s="645"/>
      <c r="C106" s="646" t="str">
        <f t="shared" si="79"/>
        <v>26/1/</v>
      </c>
      <c r="D106" s="647" t="s">
        <v>250</v>
      </c>
      <c r="E106" s="649" t="s">
        <v>542</v>
      </c>
      <c r="F106" s="648" t="s">
        <v>144</v>
      </c>
      <c r="G106" s="779" t="s">
        <v>18</v>
      </c>
      <c r="H106" s="651" t="s">
        <v>651</v>
      </c>
      <c r="I106" s="697" t="s">
        <v>652</v>
      </c>
      <c r="J106" s="652"/>
      <c r="K106" s="675"/>
      <c r="L106" s="654">
        <v>46044</v>
      </c>
      <c r="M106" s="655">
        <f t="shared" ref="M106:M173" si="102">L106</f>
        <v>46044</v>
      </c>
      <c r="N106" s="924" t="s">
        <v>551</v>
      </c>
      <c r="O106" s="925" t="s">
        <v>134</v>
      </c>
      <c r="P106" s="925" t="s">
        <v>60</v>
      </c>
      <c r="Q106" s="926" t="s">
        <v>115</v>
      </c>
      <c r="R106" s="684"/>
      <c r="S106" s="677">
        <v>51.29</v>
      </c>
      <c r="T106" s="692">
        <f t="shared" si="101"/>
        <v>51.29</v>
      </c>
      <c r="U106" s="693"/>
      <c r="V106" s="690">
        <f t="shared" ref="V106:V109" si="103">L106</f>
        <v>46044</v>
      </c>
      <c r="W106" s="663">
        <f t="shared" si="82"/>
        <v>46044</v>
      </c>
      <c r="X106" s="664">
        <f t="shared" si="76"/>
        <v>51.29</v>
      </c>
      <c r="Y106" s="660">
        <f t="shared" si="77"/>
        <v>0</v>
      </c>
      <c r="Z106" s="781" t="s">
        <v>14</v>
      </c>
      <c r="AA106" s="666" t="str">
        <f t="shared" si="83"/>
        <v>REIMBURSE</v>
      </c>
      <c r="AB106" s="667" t="str">
        <f t="shared" si="78"/>
        <v>COMPLETED</v>
      </c>
      <c r="AC106" s="668"/>
      <c r="AD106" s="669" t="s">
        <v>353</v>
      </c>
      <c r="AE106" s="670">
        <f t="shared" si="86"/>
        <v>51.29</v>
      </c>
      <c r="AF106" s="653"/>
      <c r="AG106" s="671">
        <f t="shared" si="87"/>
        <v>51.29</v>
      </c>
      <c r="AH106" s="672">
        <f t="shared" si="88"/>
        <v>0</v>
      </c>
      <c r="AI106" s="653" t="s">
        <v>58</v>
      </c>
    </row>
    <row r="107" spans="1:35" s="172" customFormat="1" ht="56" hidden="1" customHeight="1" x14ac:dyDescent="0.25">
      <c r="A107" s="316"/>
      <c r="B107" s="645"/>
      <c r="C107" s="646" t="str">
        <f t="shared" si="79"/>
        <v>26/1/</v>
      </c>
      <c r="D107" s="647" t="s">
        <v>251</v>
      </c>
      <c r="E107" s="649" t="s">
        <v>542</v>
      </c>
      <c r="F107" s="648" t="s">
        <v>144</v>
      </c>
      <c r="G107" s="779" t="s">
        <v>18</v>
      </c>
      <c r="H107" s="673" t="s">
        <v>653</v>
      </c>
      <c r="I107" s="697" t="s">
        <v>656</v>
      </c>
      <c r="J107" s="652"/>
      <c r="K107" s="653"/>
      <c r="L107" s="654">
        <v>46034</v>
      </c>
      <c r="M107" s="655">
        <f t="shared" si="102"/>
        <v>46034</v>
      </c>
      <c r="N107" s="924" t="s">
        <v>551</v>
      </c>
      <c r="O107" s="925" t="s">
        <v>134</v>
      </c>
      <c r="P107" s="925" t="s">
        <v>60</v>
      </c>
      <c r="Q107" s="926" t="s">
        <v>115</v>
      </c>
      <c r="R107" s="684"/>
      <c r="S107" s="677">
        <v>50.5</v>
      </c>
      <c r="T107" s="692">
        <f t="shared" si="101"/>
        <v>50.5</v>
      </c>
      <c r="U107" s="693"/>
      <c r="V107" s="690">
        <f t="shared" si="103"/>
        <v>46034</v>
      </c>
      <c r="W107" s="663">
        <f t="shared" ref="W107:W138" si="104">V107</f>
        <v>46034</v>
      </c>
      <c r="X107" s="664">
        <f t="shared" si="76"/>
        <v>50.5</v>
      </c>
      <c r="Y107" s="660">
        <f t="shared" si="77"/>
        <v>0</v>
      </c>
      <c r="Z107" s="781" t="s">
        <v>14</v>
      </c>
      <c r="AA107" s="666" t="str">
        <f t="shared" si="83"/>
        <v>REIMBURSE</v>
      </c>
      <c r="AB107" s="667" t="str">
        <f t="shared" si="78"/>
        <v>COMPLETED</v>
      </c>
      <c r="AC107" s="668"/>
      <c r="AD107" s="669" t="s">
        <v>353</v>
      </c>
      <c r="AE107" s="670">
        <f t="shared" si="86"/>
        <v>50.5</v>
      </c>
      <c r="AF107" s="653"/>
      <c r="AG107" s="671">
        <f t="shared" si="87"/>
        <v>50.5</v>
      </c>
      <c r="AH107" s="672">
        <f t="shared" si="88"/>
        <v>0</v>
      </c>
      <c r="AI107" s="653" t="s">
        <v>104</v>
      </c>
    </row>
    <row r="108" spans="1:35" s="533" customFormat="1" ht="56" hidden="1" customHeight="1" x14ac:dyDescent="0.25">
      <c r="A108" s="316"/>
      <c r="B108" s="645"/>
      <c r="C108" s="646" t="str">
        <f t="shared" si="79"/>
        <v>26/1/</v>
      </c>
      <c r="D108" s="647" t="s">
        <v>252</v>
      </c>
      <c r="E108" s="649" t="s">
        <v>542</v>
      </c>
      <c r="F108" s="648" t="s">
        <v>144</v>
      </c>
      <c r="G108" s="779" t="s">
        <v>18</v>
      </c>
      <c r="H108" s="651" t="s">
        <v>654</v>
      </c>
      <c r="I108" s="697" t="s">
        <v>657</v>
      </c>
      <c r="J108" s="782"/>
      <c r="K108" s="783"/>
      <c r="L108" s="784">
        <v>46051</v>
      </c>
      <c r="M108" s="785">
        <f t="shared" si="102"/>
        <v>46051</v>
      </c>
      <c r="N108" s="924" t="s">
        <v>551</v>
      </c>
      <c r="O108" s="925" t="s">
        <v>134</v>
      </c>
      <c r="P108" s="925" t="s">
        <v>60</v>
      </c>
      <c r="Q108" s="926" t="s">
        <v>115</v>
      </c>
      <c r="R108" s="684"/>
      <c r="S108" s="677">
        <v>50.06</v>
      </c>
      <c r="T108" s="692">
        <f t="shared" si="101"/>
        <v>50.06</v>
      </c>
      <c r="U108" s="693"/>
      <c r="V108" s="690">
        <f t="shared" si="103"/>
        <v>46051</v>
      </c>
      <c r="W108" s="786">
        <f t="shared" si="104"/>
        <v>46051</v>
      </c>
      <c r="X108" s="664">
        <f t="shared" si="76"/>
        <v>50.06</v>
      </c>
      <c r="Y108" s="660">
        <f t="shared" si="77"/>
        <v>0</v>
      </c>
      <c r="Z108" s="781" t="s">
        <v>14</v>
      </c>
      <c r="AA108" s="666" t="str">
        <f t="shared" si="83"/>
        <v>REIMBURSE</v>
      </c>
      <c r="AB108" s="667" t="str">
        <f t="shared" si="78"/>
        <v>COMPLETED</v>
      </c>
      <c r="AC108" s="682"/>
      <c r="AD108" s="787" t="s">
        <v>353</v>
      </c>
      <c r="AE108" s="788">
        <f t="shared" si="86"/>
        <v>50.06</v>
      </c>
      <c r="AF108" s="783"/>
      <c r="AG108" s="789">
        <f t="shared" si="87"/>
        <v>50.06</v>
      </c>
      <c r="AH108" s="788">
        <f t="shared" si="88"/>
        <v>0</v>
      </c>
      <c r="AI108" s="653" t="s">
        <v>104</v>
      </c>
    </row>
    <row r="109" spans="1:35" s="172" customFormat="1" ht="56" hidden="1" customHeight="1" x14ac:dyDescent="0.25">
      <c r="A109" s="316"/>
      <c r="B109" s="645"/>
      <c r="C109" s="646" t="str">
        <f t="shared" si="79"/>
        <v>26/1/</v>
      </c>
      <c r="D109" s="647" t="s">
        <v>253</v>
      </c>
      <c r="E109" s="649" t="s">
        <v>542</v>
      </c>
      <c r="F109" s="648" t="s">
        <v>144</v>
      </c>
      <c r="G109" s="779" t="s">
        <v>18</v>
      </c>
      <c r="H109" s="651" t="s">
        <v>655</v>
      </c>
      <c r="I109" s="697" t="s">
        <v>658</v>
      </c>
      <c r="J109" s="652"/>
      <c r="K109" s="653"/>
      <c r="L109" s="654">
        <v>46048</v>
      </c>
      <c r="M109" s="655">
        <f t="shared" si="102"/>
        <v>46048</v>
      </c>
      <c r="N109" s="924" t="s">
        <v>551</v>
      </c>
      <c r="O109" s="925" t="s">
        <v>134</v>
      </c>
      <c r="P109" s="925" t="s">
        <v>60</v>
      </c>
      <c r="Q109" s="926" t="s">
        <v>115</v>
      </c>
      <c r="R109" s="684"/>
      <c r="S109" s="677">
        <v>50.25</v>
      </c>
      <c r="T109" s="692">
        <f t="shared" si="101"/>
        <v>50.25</v>
      </c>
      <c r="U109" s="693"/>
      <c r="V109" s="690">
        <f t="shared" si="103"/>
        <v>46048</v>
      </c>
      <c r="W109" s="663">
        <f t="shared" si="104"/>
        <v>46048</v>
      </c>
      <c r="X109" s="664">
        <f t="shared" si="76"/>
        <v>50.25</v>
      </c>
      <c r="Y109" s="660">
        <f t="shared" si="77"/>
        <v>0</v>
      </c>
      <c r="Z109" s="781" t="s">
        <v>14</v>
      </c>
      <c r="AA109" s="666" t="str">
        <f t="shared" ref="AA109:AA140" si="105">G109</f>
        <v>REIMBURSE</v>
      </c>
      <c r="AB109" s="667" t="str">
        <f t="shared" si="78"/>
        <v>COMPLETED</v>
      </c>
      <c r="AC109" s="682"/>
      <c r="AD109" s="669" t="s">
        <v>353</v>
      </c>
      <c r="AE109" s="670">
        <f t="shared" si="86"/>
        <v>50.25</v>
      </c>
      <c r="AF109" s="653"/>
      <c r="AG109" s="671">
        <f t="shared" si="87"/>
        <v>50.25</v>
      </c>
      <c r="AH109" s="672">
        <f t="shared" si="88"/>
        <v>0</v>
      </c>
      <c r="AI109" s="653" t="s">
        <v>104</v>
      </c>
    </row>
    <row r="110" spans="1:35" s="172" customFormat="1" ht="56" customHeight="1" x14ac:dyDescent="0.25">
      <c r="A110" s="316"/>
      <c r="B110" s="290"/>
      <c r="C110" s="363" t="str">
        <f t="shared" si="79"/>
        <v>26/1/</v>
      </c>
      <c r="D110" s="364" t="s">
        <v>254</v>
      </c>
      <c r="E110" s="269" t="s">
        <v>446</v>
      </c>
      <c r="F110" s="576" t="s">
        <v>144</v>
      </c>
      <c r="G110" s="916" t="s">
        <v>24</v>
      </c>
      <c r="H110" s="314"/>
      <c r="I110" s="803"/>
      <c r="J110" s="252"/>
      <c r="K110" s="801"/>
      <c r="L110" s="261">
        <v>46029</v>
      </c>
      <c r="M110" s="253">
        <f t="shared" si="102"/>
        <v>46029</v>
      </c>
      <c r="N110" s="535" t="s">
        <v>768</v>
      </c>
      <c r="O110" s="259" t="s">
        <v>780</v>
      </c>
      <c r="P110" s="259" t="s">
        <v>699</v>
      </c>
      <c r="Q110" s="260" t="s">
        <v>121</v>
      </c>
      <c r="R110" s="264">
        <v>2680</v>
      </c>
      <c r="S110" s="297">
        <v>723.31</v>
      </c>
      <c r="T110" s="821">
        <f t="shared" si="101"/>
        <v>723.31</v>
      </c>
      <c r="U110" s="822"/>
      <c r="V110" s="265">
        <v>46029</v>
      </c>
      <c r="W110" s="301">
        <f t="shared" si="104"/>
        <v>46029</v>
      </c>
      <c r="X110" s="281">
        <f t="shared" si="76"/>
        <v>723.31</v>
      </c>
      <c r="Y110" s="296">
        <f t="shared" si="77"/>
        <v>0</v>
      </c>
      <c r="Z110" s="815" t="s">
        <v>447</v>
      </c>
      <c r="AA110" s="365" t="str">
        <f t="shared" si="105"/>
        <v>SHARE HOLDER</v>
      </c>
      <c r="AB110" s="366" t="str">
        <f t="shared" si="78"/>
        <v>COMPLETED</v>
      </c>
      <c r="AC110" s="541"/>
      <c r="AD110" s="367"/>
      <c r="AE110" s="368">
        <f t="shared" si="86"/>
        <v>0</v>
      </c>
      <c r="AF110" s="313"/>
      <c r="AG110" s="369">
        <f t="shared" si="87"/>
        <v>0</v>
      </c>
      <c r="AH110" s="370">
        <f t="shared" si="88"/>
        <v>723.31</v>
      </c>
      <c r="AI110" s="313" t="s">
        <v>23</v>
      </c>
    </row>
    <row r="111" spans="1:35" s="172" customFormat="1" ht="56" hidden="1" customHeight="1" x14ac:dyDescent="0.25">
      <c r="A111" s="316"/>
      <c r="B111" s="290"/>
      <c r="C111" s="363" t="str">
        <f t="shared" si="79"/>
        <v>26/1/</v>
      </c>
      <c r="D111" s="364" t="s">
        <v>255</v>
      </c>
      <c r="E111" s="269" t="s">
        <v>446</v>
      </c>
      <c r="F111" s="576" t="s">
        <v>144</v>
      </c>
      <c r="G111" s="916" t="s">
        <v>39</v>
      </c>
      <c r="H111" s="534"/>
      <c r="I111" s="803"/>
      <c r="J111" s="252"/>
      <c r="K111" s="313"/>
      <c r="L111" s="261">
        <v>46029</v>
      </c>
      <c r="M111" s="253">
        <f t="shared" si="102"/>
        <v>46029</v>
      </c>
      <c r="N111" s="535" t="s">
        <v>43</v>
      </c>
      <c r="O111" s="259" t="s">
        <v>609</v>
      </c>
      <c r="P111" s="259" t="s">
        <v>96</v>
      </c>
      <c r="Q111" s="260" t="s">
        <v>96</v>
      </c>
      <c r="R111" s="816"/>
      <c r="S111" s="297">
        <v>21.7</v>
      </c>
      <c r="T111" s="821">
        <f t="shared" si="101"/>
        <v>21.7</v>
      </c>
      <c r="U111" s="822"/>
      <c r="V111" s="265">
        <v>46029</v>
      </c>
      <c r="W111" s="301">
        <f t="shared" si="104"/>
        <v>46029</v>
      </c>
      <c r="X111" s="281">
        <f t="shared" si="76"/>
        <v>21.7</v>
      </c>
      <c r="Y111" s="296">
        <f t="shared" si="77"/>
        <v>0</v>
      </c>
      <c r="Z111" s="815" t="s">
        <v>42</v>
      </c>
      <c r="AA111" s="365" t="str">
        <f t="shared" si="105"/>
        <v>RABONA</v>
      </c>
      <c r="AB111" s="366" t="str">
        <f t="shared" si="78"/>
        <v>COMPLETED</v>
      </c>
      <c r="AC111" s="541"/>
      <c r="AD111" s="367"/>
      <c r="AE111" s="368">
        <f t="shared" si="86"/>
        <v>0</v>
      </c>
      <c r="AF111" s="313"/>
      <c r="AG111" s="369">
        <f t="shared" si="87"/>
        <v>0</v>
      </c>
      <c r="AH111" s="370">
        <f t="shared" si="88"/>
        <v>0</v>
      </c>
      <c r="AI111" s="313"/>
    </row>
    <row r="112" spans="1:35" s="172" customFormat="1" ht="56" hidden="1" customHeight="1" x14ac:dyDescent="0.25">
      <c r="A112" s="316"/>
      <c r="B112" s="290"/>
      <c r="C112" s="363" t="str">
        <f t="shared" si="79"/>
        <v>26/1/</v>
      </c>
      <c r="D112" s="364" t="s">
        <v>256</v>
      </c>
      <c r="E112" s="269" t="s">
        <v>446</v>
      </c>
      <c r="F112" s="576" t="s">
        <v>144</v>
      </c>
      <c r="G112" s="916" t="s">
        <v>39</v>
      </c>
      <c r="H112" s="534"/>
      <c r="I112" s="803"/>
      <c r="J112" s="252"/>
      <c r="K112" s="313"/>
      <c r="L112" s="261">
        <v>45972</v>
      </c>
      <c r="M112" s="253">
        <f t="shared" si="102"/>
        <v>45972</v>
      </c>
      <c r="N112" s="535" t="s">
        <v>769</v>
      </c>
      <c r="O112" s="259" t="s">
        <v>137</v>
      </c>
      <c r="P112" s="259" t="s">
        <v>114</v>
      </c>
      <c r="Q112" s="260" t="s">
        <v>77</v>
      </c>
      <c r="R112" s="820"/>
      <c r="S112" s="297">
        <v>120</v>
      </c>
      <c r="T112" s="821">
        <f t="shared" si="101"/>
        <v>120</v>
      </c>
      <c r="U112" s="822"/>
      <c r="V112" s="265">
        <v>46029</v>
      </c>
      <c r="W112" s="301">
        <f t="shared" si="104"/>
        <v>46029</v>
      </c>
      <c r="X112" s="281">
        <f t="shared" si="76"/>
        <v>120</v>
      </c>
      <c r="Y112" s="296">
        <f t="shared" si="77"/>
        <v>0</v>
      </c>
      <c r="Z112" s="815" t="s">
        <v>447</v>
      </c>
      <c r="AA112" s="365" t="str">
        <f t="shared" si="105"/>
        <v>RABONA</v>
      </c>
      <c r="AB112" s="366" t="str">
        <f t="shared" si="78"/>
        <v>COMPLETED</v>
      </c>
      <c r="AC112" s="541"/>
      <c r="AD112" s="367"/>
      <c r="AE112" s="368">
        <f t="shared" si="86"/>
        <v>0</v>
      </c>
      <c r="AF112" s="313"/>
      <c r="AG112" s="369">
        <f t="shared" si="87"/>
        <v>0</v>
      </c>
      <c r="AH112" s="370">
        <f t="shared" si="88"/>
        <v>0</v>
      </c>
      <c r="AI112" s="313"/>
    </row>
    <row r="113" spans="1:35" s="172" customFormat="1" ht="56" hidden="1" customHeight="1" x14ac:dyDescent="0.25">
      <c r="A113" s="316"/>
      <c r="B113" s="290"/>
      <c r="C113" s="363" t="str">
        <f t="shared" si="79"/>
        <v>26/1/</v>
      </c>
      <c r="D113" s="364" t="s">
        <v>257</v>
      </c>
      <c r="E113" s="269" t="s">
        <v>446</v>
      </c>
      <c r="F113" s="576" t="s">
        <v>144</v>
      </c>
      <c r="G113" s="916" t="s">
        <v>18</v>
      </c>
      <c r="H113" s="314" t="s">
        <v>659</v>
      </c>
      <c r="I113" s="803" t="s">
        <v>660</v>
      </c>
      <c r="J113" s="252"/>
      <c r="K113" s="313"/>
      <c r="L113" s="261">
        <v>46037</v>
      </c>
      <c r="M113" s="253">
        <f t="shared" si="102"/>
        <v>46037</v>
      </c>
      <c r="N113" s="535" t="s">
        <v>614</v>
      </c>
      <c r="O113" s="259" t="s">
        <v>602</v>
      </c>
      <c r="P113" s="259" t="s">
        <v>789</v>
      </c>
      <c r="Q113" s="260" t="s">
        <v>115</v>
      </c>
      <c r="R113" s="820"/>
      <c r="S113" s="297">
        <v>36</v>
      </c>
      <c r="T113" s="821">
        <f t="shared" si="101"/>
        <v>36</v>
      </c>
      <c r="U113" s="822"/>
      <c r="V113" s="265">
        <v>46041</v>
      </c>
      <c r="W113" s="301">
        <f t="shared" si="104"/>
        <v>46041</v>
      </c>
      <c r="X113" s="281">
        <f t="shared" si="76"/>
        <v>36</v>
      </c>
      <c r="Y113" s="296">
        <f t="shared" si="77"/>
        <v>0</v>
      </c>
      <c r="Z113" s="815" t="s">
        <v>447</v>
      </c>
      <c r="AA113" s="365" t="str">
        <f t="shared" si="105"/>
        <v>REIMBURSE</v>
      </c>
      <c r="AB113" s="366" t="str">
        <f t="shared" si="78"/>
        <v>COMPLETED</v>
      </c>
      <c r="AC113" s="541"/>
      <c r="AD113" s="367" t="s">
        <v>353</v>
      </c>
      <c r="AE113" s="368">
        <f>IF(AA113=$AD$5,S113,0)</f>
        <v>36</v>
      </c>
      <c r="AF113" s="313"/>
      <c r="AG113" s="369">
        <f t="shared" ref="AG113:AG144" si="106">IF(Z113=$AG$5,X113,0)</f>
        <v>0</v>
      </c>
      <c r="AH113" s="370">
        <f t="shared" ref="AH113:AH144" si="107">IF(AA113=$AH$5,X113,0)</f>
        <v>0</v>
      </c>
      <c r="AI113" s="313"/>
    </row>
    <row r="114" spans="1:35" s="172" customFormat="1" ht="56" hidden="1" customHeight="1" x14ac:dyDescent="0.25">
      <c r="A114" s="316"/>
      <c r="B114" s="290"/>
      <c r="C114" s="363" t="str">
        <f t="shared" si="79"/>
        <v>26/1/</v>
      </c>
      <c r="D114" s="364" t="s">
        <v>258</v>
      </c>
      <c r="E114" s="269" t="s">
        <v>446</v>
      </c>
      <c r="F114" s="576" t="s">
        <v>144</v>
      </c>
      <c r="G114" s="916" t="s">
        <v>39</v>
      </c>
      <c r="H114" s="314"/>
      <c r="I114" s="803"/>
      <c r="J114" s="252"/>
      <c r="K114" s="313"/>
      <c r="L114" s="542">
        <v>46032</v>
      </c>
      <c r="M114" s="544">
        <f t="shared" si="102"/>
        <v>46032</v>
      </c>
      <c r="N114" s="254" t="s">
        <v>773</v>
      </c>
      <c r="O114" s="259" t="s">
        <v>137</v>
      </c>
      <c r="P114" s="259" t="s">
        <v>85</v>
      </c>
      <c r="Q114" s="260" t="s">
        <v>77</v>
      </c>
      <c r="R114" s="820"/>
      <c r="S114" s="296">
        <v>94.83</v>
      </c>
      <c r="T114" s="821">
        <f t="shared" si="101"/>
        <v>94.83</v>
      </c>
      <c r="U114" s="822"/>
      <c r="V114" s="265">
        <v>46034</v>
      </c>
      <c r="W114" s="301">
        <f t="shared" si="104"/>
        <v>46034</v>
      </c>
      <c r="X114" s="281">
        <f t="shared" si="76"/>
        <v>94.83</v>
      </c>
      <c r="Y114" s="296">
        <f t="shared" si="77"/>
        <v>0</v>
      </c>
      <c r="Z114" s="815" t="s">
        <v>447</v>
      </c>
      <c r="AA114" s="365" t="str">
        <f t="shared" si="105"/>
        <v>RABONA</v>
      </c>
      <c r="AB114" s="366" t="str">
        <f t="shared" si="78"/>
        <v>COMPLETED</v>
      </c>
      <c r="AC114" s="257"/>
      <c r="AD114" s="367"/>
      <c r="AE114" s="368">
        <f t="shared" ref="AE114:AE144" si="108">IF(AA114=$AD$5,S114,0)</f>
        <v>0</v>
      </c>
      <c r="AF114" s="617"/>
      <c r="AG114" s="369">
        <f t="shared" si="106"/>
        <v>0</v>
      </c>
      <c r="AH114" s="370">
        <f t="shared" si="107"/>
        <v>0</v>
      </c>
      <c r="AI114" s="313"/>
    </row>
    <row r="115" spans="1:35" s="172" customFormat="1" ht="56" hidden="1" customHeight="1" x14ac:dyDescent="0.25">
      <c r="A115" s="316"/>
      <c r="B115" s="290"/>
      <c r="C115" s="363" t="str">
        <f t="shared" si="79"/>
        <v>26/1/</v>
      </c>
      <c r="D115" s="364" t="s">
        <v>259</v>
      </c>
      <c r="E115" s="269" t="s">
        <v>446</v>
      </c>
      <c r="F115" s="576" t="s">
        <v>144</v>
      </c>
      <c r="G115" s="916" t="s">
        <v>39</v>
      </c>
      <c r="H115" s="314"/>
      <c r="I115" s="803"/>
      <c r="J115" s="252"/>
      <c r="K115" s="313"/>
      <c r="L115" s="261">
        <v>46033</v>
      </c>
      <c r="M115" s="253">
        <f t="shared" si="102"/>
        <v>46033</v>
      </c>
      <c r="N115" s="535" t="s">
        <v>774</v>
      </c>
      <c r="O115" s="991" t="s">
        <v>137</v>
      </c>
      <c r="P115" s="991" t="s">
        <v>85</v>
      </c>
      <c r="Q115" s="992" t="s">
        <v>77</v>
      </c>
      <c r="R115" s="255"/>
      <c r="S115" s="296">
        <v>100.13</v>
      </c>
      <c r="T115" s="821">
        <f t="shared" si="101"/>
        <v>100.13</v>
      </c>
      <c r="U115" s="822"/>
      <c r="V115" s="265">
        <v>46035</v>
      </c>
      <c r="W115" s="301">
        <f t="shared" si="104"/>
        <v>46035</v>
      </c>
      <c r="X115" s="281">
        <f t="shared" si="76"/>
        <v>100.13</v>
      </c>
      <c r="Y115" s="296">
        <f t="shared" si="77"/>
        <v>0</v>
      </c>
      <c r="Z115" s="815" t="s">
        <v>447</v>
      </c>
      <c r="AA115" s="365" t="str">
        <f t="shared" si="105"/>
        <v>RABONA</v>
      </c>
      <c r="AB115" s="366" t="str">
        <f t="shared" si="78"/>
        <v>COMPLETED</v>
      </c>
      <c r="AC115" s="257"/>
      <c r="AD115" s="367"/>
      <c r="AE115" s="368">
        <f t="shared" si="108"/>
        <v>0</v>
      </c>
      <c r="AF115" s="313"/>
      <c r="AG115" s="369">
        <f t="shared" si="106"/>
        <v>0</v>
      </c>
      <c r="AH115" s="370">
        <f t="shared" si="107"/>
        <v>0</v>
      </c>
      <c r="AI115" s="313"/>
    </row>
    <row r="116" spans="1:35" s="172" customFormat="1" ht="56" customHeight="1" x14ac:dyDescent="0.25">
      <c r="A116" s="316"/>
      <c r="B116" s="290"/>
      <c r="C116" s="363" t="str">
        <f t="shared" si="79"/>
        <v>26/1/</v>
      </c>
      <c r="D116" s="364" t="s">
        <v>260</v>
      </c>
      <c r="E116" s="269" t="s">
        <v>446</v>
      </c>
      <c r="F116" s="576" t="s">
        <v>144</v>
      </c>
      <c r="G116" s="916" t="s">
        <v>24</v>
      </c>
      <c r="H116" s="314"/>
      <c r="I116" s="803"/>
      <c r="J116" s="252"/>
      <c r="K116" s="313"/>
      <c r="L116" s="261">
        <v>46034</v>
      </c>
      <c r="M116" s="253">
        <f t="shared" si="102"/>
        <v>46034</v>
      </c>
      <c r="N116" s="535" t="s">
        <v>775</v>
      </c>
      <c r="O116" s="259" t="s">
        <v>776</v>
      </c>
      <c r="P116" s="259" t="s">
        <v>699</v>
      </c>
      <c r="Q116" s="260" t="s">
        <v>121</v>
      </c>
      <c r="R116" s="264"/>
      <c r="S116" s="296">
        <v>1357.6</v>
      </c>
      <c r="T116" s="821">
        <f t="shared" si="101"/>
        <v>1357.6</v>
      </c>
      <c r="U116" s="822"/>
      <c r="V116" s="265">
        <f t="shared" ref="V116:V130" si="109">L116</f>
        <v>46034</v>
      </c>
      <c r="W116" s="301">
        <f t="shared" si="104"/>
        <v>46034</v>
      </c>
      <c r="X116" s="281">
        <f t="shared" si="76"/>
        <v>1357.6</v>
      </c>
      <c r="Y116" s="296">
        <f t="shared" si="77"/>
        <v>0</v>
      </c>
      <c r="Z116" s="815" t="s">
        <v>447</v>
      </c>
      <c r="AA116" s="365" t="str">
        <f t="shared" si="105"/>
        <v>SHARE HOLDER</v>
      </c>
      <c r="AB116" s="366" t="str">
        <f t="shared" si="78"/>
        <v>COMPLETED</v>
      </c>
      <c r="AC116" s="257"/>
      <c r="AD116" s="367"/>
      <c r="AE116" s="368">
        <f t="shared" si="108"/>
        <v>0</v>
      </c>
      <c r="AF116" s="313"/>
      <c r="AG116" s="369">
        <f t="shared" si="106"/>
        <v>0</v>
      </c>
      <c r="AH116" s="370">
        <f t="shared" si="107"/>
        <v>1357.6</v>
      </c>
      <c r="AI116" s="313" t="s">
        <v>23</v>
      </c>
    </row>
    <row r="117" spans="1:35" s="172" customFormat="1" ht="56" hidden="1" customHeight="1" x14ac:dyDescent="0.25">
      <c r="A117" s="316"/>
      <c r="B117" s="290"/>
      <c r="C117" s="363" t="str">
        <f t="shared" si="79"/>
        <v>26/1/</v>
      </c>
      <c r="D117" s="364" t="s">
        <v>261</v>
      </c>
      <c r="E117" s="269" t="s">
        <v>446</v>
      </c>
      <c r="F117" s="576" t="s">
        <v>144</v>
      </c>
      <c r="G117" s="916" t="s">
        <v>39</v>
      </c>
      <c r="H117" s="314"/>
      <c r="I117" s="803"/>
      <c r="J117" s="252"/>
      <c r="K117" s="993"/>
      <c r="L117" s="261">
        <v>46039</v>
      </c>
      <c r="M117" s="253">
        <f t="shared" si="102"/>
        <v>46039</v>
      </c>
      <c r="N117" s="535" t="s">
        <v>777</v>
      </c>
      <c r="O117" s="259" t="s">
        <v>137</v>
      </c>
      <c r="P117" s="259" t="s">
        <v>85</v>
      </c>
      <c r="Q117" s="260" t="s">
        <v>77</v>
      </c>
      <c r="R117" s="264"/>
      <c r="S117" s="296">
        <v>69.73</v>
      </c>
      <c r="T117" s="821">
        <f>S117</f>
        <v>69.73</v>
      </c>
      <c r="U117" s="822"/>
      <c r="V117" s="265">
        <v>46041</v>
      </c>
      <c r="W117" s="301">
        <f t="shared" si="104"/>
        <v>46041</v>
      </c>
      <c r="X117" s="281">
        <f t="shared" si="76"/>
        <v>69.73</v>
      </c>
      <c r="Y117" s="296">
        <f t="shared" si="77"/>
        <v>0</v>
      </c>
      <c r="Z117" s="815" t="s">
        <v>447</v>
      </c>
      <c r="AA117" s="365" t="str">
        <f t="shared" si="105"/>
        <v>RABONA</v>
      </c>
      <c r="AB117" s="366" t="str">
        <f t="shared" si="78"/>
        <v>COMPLETED</v>
      </c>
      <c r="AC117" s="257"/>
      <c r="AD117" s="367"/>
      <c r="AE117" s="368">
        <f t="shared" si="108"/>
        <v>0</v>
      </c>
      <c r="AF117" s="313"/>
      <c r="AG117" s="369">
        <f t="shared" si="106"/>
        <v>0</v>
      </c>
      <c r="AH117" s="370">
        <f t="shared" si="107"/>
        <v>0</v>
      </c>
      <c r="AI117" s="313"/>
    </row>
    <row r="118" spans="1:35" s="172" customFormat="1" ht="56" customHeight="1" x14ac:dyDescent="0.25">
      <c r="A118" s="316"/>
      <c r="B118" s="290"/>
      <c r="C118" s="363" t="str">
        <f t="shared" si="79"/>
        <v>26/1/</v>
      </c>
      <c r="D118" s="364" t="s">
        <v>262</v>
      </c>
      <c r="E118" s="269" t="s">
        <v>446</v>
      </c>
      <c r="F118" s="576" t="s">
        <v>144</v>
      </c>
      <c r="G118" s="916" t="s">
        <v>24</v>
      </c>
      <c r="H118" s="314"/>
      <c r="I118" s="803"/>
      <c r="J118" s="252"/>
      <c r="K118" s="547"/>
      <c r="L118" s="261">
        <v>46048</v>
      </c>
      <c r="M118" s="253">
        <f t="shared" si="102"/>
        <v>46048</v>
      </c>
      <c r="N118" s="535" t="s">
        <v>778</v>
      </c>
      <c r="O118" s="259" t="s">
        <v>780</v>
      </c>
      <c r="P118" s="259" t="s">
        <v>699</v>
      </c>
      <c r="Q118" s="260" t="s">
        <v>121</v>
      </c>
      <c r="R118" s="264"/>
      <c r="S118" s="296">
        <v>22.7</v>
      </c>
      <c r="T118" s="821">
        <f>S118</f>
        <v>22.7</v>
      </c>
      <c r="U118" s="822"/>
      <c r="V118" s="265">
        <v>46048</v>
      </c>
      <c r="W118" s="301">
        <f t="shared" si="104"/>
        <v>46048</v>
      </c>
      <c r="X118" s="281">
        <f t="shared" si="76"/>
        <v>22.7</v>
      </c>
      <c r="Y118" s="296">
        <f t="shared" si="77"/>
        <v>0</v>
      </c>
      <c r="Z118" s="815" t="s">
        <v>447</v>
      </c>
      <c r="AA118" s="365" t="str">
        <f t="shared" si="105"/>
        <v>SHARE HOLDER</v>
      </c>
      <c r="AB118" s="366" t="str">
        <f t="shared" si="78"/>
        <v>COMPLETED</v>
      </c>
      <c r="AC118" s="257"/>
      <c r="AD118" s="367"/>
      <c r="AE118" s="368">
        <f t="shared" si="108"/>
        <v>0</v>
      </c>
      <c r="AF118" s="313"/>
      <c r="AG118" s="369">
        <f t="shared" si="106"/>
        <v>0</v>
      </c>
      <c r="AH118" s="370">
        <f t="shared" si="107"/>
        <v>22.7</v>
      </c>
      <c r="AI118" s="313" t="s">
        <v>23</v>
      </c>
    </row>
    <row r="119" spans="1:35" s="172" customFormat="1" ht="56" customHeight="1" x14ac:dyDescent="0.25">
      <c r="A119" s="316"/>
      <c r="B119" s="290"/>
      <c r="C119" s="363" t="str">
        <f t="shared" si="79"/>
        <v>26/1/</v>
      </c>
      <c r="D119" s="364" t="s">
        <v>263</v>
      </c>
      <c r="E119" s="269" t="s">
        <v>446</v>
      </c>
      <c r="F119" s="576" t="s">
        <v>144</v>
      </c>
      <c r="G119" s="916" t="s">
        <v>24</v>
      </c>
      <c r="H119" s="314"/>
      <c r="I119" s="803"/>
      <c r="J119" s="252"/>
      <c r="K119" s="313"/>
      <c r="L119" s="261">
        <v>46048</v>
      </c>
      <c r="M119" s="253">
        <f t="shared" si="102"/>
        <v>46048</v>
      </c>
      <c r="N119" s="254" t="s">
        <v>779</v>
      </c>
      <c r="O119" s="994" t="s">
        <v>780</v>
      </c>
      <c r="P119" s="259" t="s">
        <v>699</v>
      </c>
      <c r="Q119" s="260" t="s">
        <v>121</v>
      </c>
      <c r="R119" s="820"/>
      <c r="S119" s="296">
        <v>63.1</v>
      </c>
      <c r="T119" s="821">
        <f t="shared" si="101"/>
        <v>63.1</v>
      </c>
      <c r="U119" s="822"/>
      <c r="V119" s="265">
        <v>46048</v>
      </c>
      <c r="W119" s="301">
        <f t="shared" si="104"/>
        <v>46048</v>
      </c>
      <c r="X119" s="281">
        <f t="shared" si="76"/>
        <v>63.1</v>
      </c>
      <c r="Y119" s="296">
        <f t="shared" si="77"/>
        <v>0</v>
      </c>
      <c r="Z119" s="815" t="s">
        <v>447</v>
      </c>
      <c r="AA119" s="365" t="str">
        <f t="shared" si="105"/>
        <v>SHARE HOLDER</v>
      </c>
      <c r="AB119" s="366" t="str">
        <f t="shared" si="78"/>
        <v>COMPLETED</v>
      </c>
      <c r="AC119" s="257"/>
      <c r="AD119" s="367"/>
      <c r="AE119" s="368">
        <f t="shared" si="108"/>
        <v>0</v>
      </c>
      <c r="AF119" s="313"/>
      <c r="AG119" s="369">
        <f t="shared" si="106"/>
        <v>0</v>
      </c>
      <c r="AH119" s="370">
        <f t="shared" si="107"/>
        <v>63.1</v>
      </c>
      <c r="AI119" s="313" t="s">
        <v>23</v>
      </c>
    </row>
    <row r="120" spans="1:35" s="172" customFormat="1" ht="56" hidden="1" customHeight="1" x14ac:dyDescent="0.25">
      <c r="A120" s="316"/>
      <c r="B120" s="290"/>
      <c r="C120" s="363" t="str">
        <f t="shared" si="79"/>
        <v>26/1/</v>
      </c>
      <c r="D120" s="364" t="s">
        <v>264</v>
      </c>
      <c r="E120" s="269" t="s">
        <v>446</v>
      </c>
      <c r="F120" s="576" t="s">
        <v>144</v>
      </c>
      <c r="G120" s="916" t="s">
        <v>39</v>
      </c>
      <c r="H120" s="314"/>
      <c r="I120" s="252"/>
      <c r="J120" s="252"/>
      <c r="K120" s="313"/>
      <c r="L120" s="261">
        <v>46047</v>
      </c>
      <c r="M120" s="253">
        <f t="shared" si="102"/>
        <v>46047</v>
      </c>
      <c r="N120" s="254" t="s">
        <v>781</v>
      </c>
      <c r="O120" s="259" t="s">
        <v>137</v>
      </c>
      <c r="P120" s="259" t="s">
        <v>85</v>
      </c>
      <c r="Q120" s="260" t="s">
        <v>77</v>
      </c>
      <c r="R120" s="820"/>
      <c r="S120" s="296">
        <v>72.2</v>
      </c>
      <c r="T120" s="821">
        <f t="shared" si="101"/>
        <v>72.2</v>
      </c>
      <c r="U120" s="822"/>
      <c r="V120" s="265">
        <v>46049</v>
      </c>
      <c r="W120" s="301">
        <f t="shared" si="104"/>
        <v>46049</v>
      </c>
      <c r="X120" s="281">
        <f t="shared" si="76"/>
        <v>72.2</v>
      </c>
      <c r="Y120" s="296">
        <f t="shared" si="77"/>
        <v>0</v>
      </c>
      <c r="Z120" s="815" t="s">
        <v>447</v>
      </c>
      <c r="AA120" s="365" t="str">
        <f t="shared" si="105"/>
        <v>RABONA</v>
      </c>
      <c r="AB120" s="366" t="str">
        <f t="shared" si="78"/>
        <v>COMPLETED</v>
      </c>
      <c r="AC120" s="257"/>
      <c r="AD120" s="367"/>
      <c r="AE120" s="368">
        <f t="shared" si="108"/>
        <v>0</v>
      </c>
      <c r="AF120" s="313"/>
      <c r="AG120" s="369">
        <f t="shared" si="106"/>
        <v>0</v>
      </c>
      <c r="AH120" s="370">
        <f t="shared" si="107"/>
        <v>0</v>
      </c>
      <c r="AI120" s="313"/>
    </row>
    <row r="121" spans="1:35" s="172" customFormat="1" ht="56" hidden="1" customHeight="1" x14ac:dyDescent="0.25">
      <c r="A121" s="316"/>
      <c r="B121" s="645"/>
      <c r="C121" s="646" t="str">
        <f t="shared" si="79"/>
        <v>26/1/</v>
      </c>
      <c r="D121" s="647" t="s">
        <v>265</v>
      </c>
      <c r="E121" s="649" t="s">
        <v>542</v>
      </c>
      <c r="F121" s="648" t="s">
        <v>144</v>
      </c>
      <c r="G121" s="779" t="s">
        <v>39</v>
      </c>
      <c r="H121" s="651"/>
      <c r="I121" s="652"/>
      <c r="J121" s="652"/>
      <c r="K121" s="694"/>
      <c r="L121" s="654">
        <v>46051</v>
      </c>
      <c r="M121" s="655">
        <f t="shared" si="102"/>
        <v>46051</v>
      </c>
      <c r="N121" s="656" t="s">
        <v>614</v>
      </c>
      <c r="O121" s="657" t="s">
        <v>602</v>
      </c>
      <c r="P121" s="657" t="s">
        <v>94</v>
      </c>
      <c r="Q121" s="676" t="s">
        <v>90</v>
      </c>
      <c r="R121" s="684"/>
      <c r="S121" s="790">
        <v>36</v>
      </c>
      <c r="T121" s="692">
        <f t="shared" si="101"/>
        <v>36</v>
      </c>
      <c r="U121" s="693"/>
      <c r="V121" s="690">
        <f t="shared" si="109"/>
        <v>46051</v>
      </c>
      <c r="W121" s="663">
        <f t="shared" si="104"/>
        <v>46051</v>
      </c>
      <c r="X121" s="664">
        <f t="shared" si="76"/>
        <v>36</v>
      </c>
      <c r="Y121" s="660">
        <f t="shared" si="77"/>
        <v>0</v>
      </c>
      <c r="Z121" s="781" t="s">
        <v>14</v>
      </c>
      <c r="AA121" s="666" t="str">
        <f t="shared" si="105"/>
        <v>RABONA</v>
      </c>
      <c r="AB121" s="667" t="str">
        <f t="shared" si="78"/>
        <v>COMPLETED</v>
      </c>
      <c r="AC121" s="668"/>
      <c r="AD121" s="669"/>
      <c r="AE121" s="670">
        <f t="shared" si="108"/>
        <v>0</v>
      </c>
      <c r="AF121" s="653"/>
      <c r="AG121" s="671">
        <f t="shared" si="106"/>
        <v>36</v>
      </c>
      <c r="AH121" s="672">
        <f t="shared" si="107"/>
        <v>0</v>
      </c>
      <c r="AI121" s="653" t="s">
        <v>104</v>
      </c>
    </row>
    <row r="122" spans="1:35" s="172" customFormat="1" ht="56" hidden="1" customHeight="1" x14ac:dyDescent="0.25">
      <c r="A122" s="316"/>
      <c r="B122" s="645"/>
      <c r="C122" s="646" t="str">
        <f t="shared" si="79"/>
        <v>26/1/</v>
      </c>
      <c r="D122" s="647" t="s">
        <v>266</v>
      </c>
      <c r="E122" s="649" t="s">
        <v>542</v>
      </c>
      <c r="F122" s="648" t="s">
        <v>144</v>
      </c>
      <c r="G122" s="779" t="s">
        <v>39</v>
      </c>
      <c r="H122" s="651"/>
      <c r="I122" s="652"/>
      <c r="J122" s="680"/>
      <c r="K122" s="695"/>
      <c r="L122" s="681">
        <v>46044</v>
      </c>
      <c r="M122" s="791">
        <f t="shared" si="102"/>
        <v>46044</v>
      </c>
      <c r="N122" s="656" t="s">
        <v>782</v>
      </c>
      <c r="O122" s="657" t="s">
        <v>783</v>
      </c>
      <c r="P122" s="657" t="s">
        <v>92</v>
      </c>
      <c r="Q122" s="676" t="s">
        <v>90</v>
      </c>
      <c r="R122" s="684"/>
      <c r="S122" s="790">
        <v>85</v>
      </c>
      <c r="T122" s="692">
        <f t="shared" si="101"/>
        <v>85</v>
      </c>
      <c r="U122" s="693"/>
      <c r="V122" s="690">
        <f t="shared" si="109"/>
        <v>46044</v>
      </c>
      <c r="W122" s="663">
        <f t="shared" si="104"/>
        <v>46044</v>
      </c>
      <c r="X122" s="664">
        <f t="shared" si="76"/>
        <v>85</v>
      </c>
      <c r="Y122" s="660">
        <f t="shared" si="77"/>
        <v>0</v>
      </c>
      <c r="Z122" s="781" t="s">
        <v>14</v>
      </c>
      <c r="AA122" s="666" t="str">
        <f t="shared" si="105"/>
        <v>RABONA</v>
      </c>
      <c r="AB122" s="667" t="str">
        <f t="shared" si="78"/>
        <v>COMPLETED</v>
      </c>
      <c r="AC122" s="668"/>
      <c r="AD122" s="669"/>
      <c r="AE122" s="670">
        <f t="shared" si="108"/>
        <v>0</v>
      </c>
      <c r="AF122" s="653"/>
      <c r="AG122" s="671">
        <f t="shared" si="106"/>
        <v>85</v>
      </c>
      <c r="AH122" s="672">
        <f t="shared" si="107"/>
        <v>0</v>
      </c>
      <c r="AI122" s="653" t="s">
        <v>104</v>
      </c>
    </row>
    <row r="123" spans="1:35" s="172" customFormat="1" ht="56" hidden="1" customHeight="1" x14ac:dyDescent="0.25">
      <c r="A123" s="316"/>
      <c r="B123" s="645"/>
      <c r="C123" s="646" t="str">
        <f t="shared" si="79"/>
        <v>26/1/</v>
      </c>
      <c r="D123" s="647" t="s">
        <v>267</v>
      </c>
      <c r="E123" s="649" t="s">
        <v>542</v>
      </c>
      <c r="F123" s="648" t="s">
        <v>144</v>
      </c>
      <c r="G123" s="779" t="s">
        <v>39</v>
      </c>
      <c r="H123" s="651"/>
      <c r="I123" s="652"/>
      <c r="J123" s="652"/>
      <c r="K123" s="653"/>
      <c r="L123" s="681">
        <v>46034</v>
      </c>
      <c r="M123" s="655">
        <f t="shared" si="102"/>
        <v>46034</v>
      </c>
      <c r="N123" s="656" t="s">
        <v>784</v>
      </c>
      <c r="O123" s="658" t="s">
        <v>591</v>
      </c>
      <c r="P123" s="657" t="s">
        <v>79</v>
      </c>
      <c r="Q123" s="676" t="s">
        <v>77</v>
      </c>
      <c r="R123" s="684"/>
      <c r="S123" s="790">
        <v>87.08</v>
      </c>
      <c r="T123" s="692">
        <f t="shared" si="101"/>
        <v>87.08</v>
      </c>
      <c r="U123" s="693"/>
      <c r="V123" s="690">
        <f t="shared" si="109"/>
        <v>46034</v>
      </c>
      <c r="W123" s="663">
        <f t="shared" si="104"/>
        <v>46034</v>
      </c>
      <c r="X123" s="664">
        <f t="shared" si="76"/>
        <v>87.08</v>
      </c>
      <c r="Y123" s="660">
        <f t="shared" si="77"/>
        <v>0</v>
      </c>
      <c r="Z123" s="781" t="s">
        <v>14</v>
      </c>
      <c r="AA123" s="666" t="str">
        <f t="shared" si="105"/>
        <v>RABONA</v>
      </c>
      <c r="AB123" s="667" t="str">
        <f t="shared" si="78"/>
        <v>COMPLETED</v>
      </c>
      <c r="AC123" s="696"/>
      <c r="AD123" s="669"/>
      <c r="AE123" s="670">
        <f t="shared" si="108"/>
        <v>0</v>
      </c>
      <c r="AF123" s="653"/>
      <c r="AG123" s="671">
        <f t="shared" si="106"/>
        <v>87.08</v>
      </c>
      <c r="AH123" s="672">
        <f t="shared" si="107"/>
        <v>0</v>
      </c>
      <c r="AI123" s="653" t="s">
        <v>104</v>
      </c>
    </row>
    <row r="124" spans="1:35" s="172" customFormat="1" ht="56" hidden="1" customHeight="1" x14ac:dyDescent="0.25">
      <c r="A124" s="316"/>
      <c r="B124" s="645"/>
      <c r="C124" s="646" t="str">
        <f t="shared" si="79"/>
        <v>26/1/</v>
      </c>
      <c r="D124" s="647" t="s">
        <v>268</v>
      </c>
      <c r="E124" s="649" t="s">
        <v>542</v>
      </c>
      <c r="F124" s="648" t="s">
        <v>144</v>
      </c>
      <c r="G124" s="779" t="s">
        <v>39</v>
      </c>
      <c r="H124" s="651"/>
      <c r="I124" s="652"/>
      <c r="J124" s="652"/>
      <c r="K124" s="653"/>
      <c r="L124" s="654">
        <v>46031</v>
      </c>
      <c r="M124" s="655">
        <f t="shared" si="102"/>
        <v>46031</v>
      </c>
      <c r="N124" s="674" t="s">
        <v>784</v>
      </c>
      <c r="O124" s="657" t="s">
        <v>591</v>
      </c>
      <c r="P124" s="657" t="s">
        <v>79</v>
      </c>
      <c r="Q124" s="676" t="s">
        <v>77</v>
      </c>
      <c r="R124" s="684"/>
      <c r="S124" s="660">
        <v>47.1</v>
      </c>
      <c r="T124" s="661">
        <f t="shared" si="101"/>
        <v>47.1</v>
      </c>
      <c r="U124" s="662"/>
      <c r="V124" s="690">
        <f t="shared" si="109"/>
        <v>46031</v>
      </c>
      <c r="W124" s="663">
        <f t="shared" si="104"/>
        <v>46031</v>
      </c>
      <c r="X124" s="664">
        <f t="shared" si="76"/>
        <v>47.1</v>
      </c>
      <c r="Y124" s="660">
        <f t="shared" si="77"/>
        <v>0</v>
      </c>
      <c r="Z124" s="781" t="s">
        <v>14</v>
      </c>
      <c r="AA124" s="666" t="str">
        <f t="shared" si="105"/>
        <v>RABONA</v>
      </c>
      <c r="AB124" s="667" t="str">
        <f t="shared" si="78"/>
        <v>COMPLETED</v>
      </c>
      <c r="AC124" s="668"/>
      <c r="AD124" s="669"/>
      <c r="AE124" s="670">
        <f t="shared" si="108"/>
        <v>0</v>
      </c>
      <c r="AF124" s="653"/>
      <c r="AG124" s="671">
        <f t="shared" si="106"/>
        <v>47.1</v>
      </c>
      <c r="AH124" s="672">
        <f t="shared" si="107"/>
        <v>0</v>
      </c>
      <c r="AI124" s="653" t="s">
        <v>104</v>
      </c>
    </row>
    <row r="125" spans="1:35" s="172" customFormat="1" ht="56" hidden="1" customHeight="1" x14ac:dyDescent="0.25">
      <c r="A125" s="316"/>
      <c r="B125" s="645"/>
      <c r="C125" s="646" t="str">
        <f t="shared" si="79"/>
        <v>26/1/</v>
      </c>
      <c r="D125" s="647" t="s">
        <v>269</v>
      </c>
      <c r="E125" s="649" t="s">
        <v>542</v>
      </c>
      <c r="F125" s="648" t="s">
        <v>144</v>
      </c>
      <c r="G125" s="779" t="s">
        <v>39</v>
      </c>
      <c r="H125" s="651"/>
      <c r="I125" s="652"/>
      <c r="J125" s="680"/>
      <c r="K125" s="695"/>
      <c r="L125" s="681">
        <v>46040</v>
      </c>
      <c r="M125" s="791">
        <f t="shared" si="102"/>
        <v>46040</v>
      </c>
      <c r="N125" s="656" t="s">
        <v>451</v>
      </c>
      <c r="O125" s="657" t="s">
        <v>93</v>
      </c>
      <c r="P125" s="657" t="s">
        <v>93</v>
      </c>
      <c r="Q125" s="676" t="s">
        <v>90</v>
      </c>
      <c r="R125" s="684"/>
      <c r="S125" s="677">
        <v>88.25</v>
      </c>
      <c r="T125" s="678">
        <f t="shared" si="101"/>
        <v>88.25</v>
      </c>
      <c r="U125" s="679"/>
      <c r="V125" s="690">
        <f t="shared" si="109"/>
        <v>46040</v>
      </c>
      <c r="W125" s="663">
        <f t="shared" si="104"/>
        <v>46040</v>
      </c>
      <c r="X125" s="664">
        <f t="shared" si="76"/>
        <v>88.25</v>
      </c>
      <c r="Y125" s="660">
        <f t="shared" si="77"/>
        <v>0</v>
      </c>
      <c r="Z125" s="781" t="s">
        <v>14</v>
      </c>
      <c r="AA125" s="666" t="str">
        <f t="shared" si="105"/>
        <v>RABONA</v>
      </c>
      <c r="AB125" s="667" t="str">
        <f t="shared" si="78"/>
        <v>COMPLETED</v>
      </c>
      <c r="AC125" s="696"/>
      <c r="AD125" s="669"/>
      <c r="AE125" s="670">
        <f t="shared" si="108"/>
        <v>0</v>
      </c>
      <c r="AF125" s="653"/>
      <c r="AG125" s="671">
        <f t="shared" si="106"/>
        <v>88.25</v>
      </c>
      <c r="AH125" s="672">
        <f t="shared" si="107"/>
        <v>0</v>
      </c>
      <c r="AI125" s="653" t="s">
        <v>104</v>
      </c>
    </row>
    <row r="126" spans="1:35" s="172" customFormat="1" ht="56" hidden="1" customHeight="1" x14ac:dyDescent="0.25">
      <c r="A126" s="316"/>
      <c r="B126" s="645"/>
      <c r="C126" s="646" t="str">
        <f t="shared" si="79"/>
        <v>26/1/</v>
      </c>
      <c r="D126" s="647" t="s">
        <v>270</v>
      </c>
      <c r="E126" s="649" t="s">
        <v>542</v>
      </c>
      <c r="F126" s="648" t="s">
        <v>144</v>
      </c>
      <c r="G126" s="779" t="s">
        <v>39</v>
      </c>
      <c r="H126" s="651"/>
      <c r="I126" s="652"/>
      <c r="J126" s="652"/>
      <c r="K126" s="675"/>
      <c r="L126" s="681">
        <v>46026</v>
      </c>
      <c r="M126" s="655">
        <f t="shared" si="102"/>
        <v>46026</v>
      </c>
      <c r="N126" s="656" t="s">
        <v>614</v>
      </c>
      <c r="O126" s="657" t="s">
        <v>602</v>
      </c>
      <c r="P126" s="657" t="s">
        <v>94</v>
      </c>
      <c r="Q126" s="676" t="s">
        <v>90</v>
      </c>
      <c r="R126" s="659"/>
      <c r="S126" s="677">
        <v>68</v>
      </c>
      <c r="T126" s="661">
        <f t="shared" si="101"/>
        <v>68</v>
      </c>
      <c r="U126" s="662"/>
      <c r="V126" s="690">
        <f t="shared" si="109"/>
        <v>46026</v>
      </c>
      <c r="W126" s="663">
        <f t="shared" si="104"/>
        <v>46026</v>
      </c>
      <c r="X126" s="664">
        <f t="shared" si="76"/>
        <v>68</v>
      </c>
      <c r="Y126" s="660">
        <f t="shared" si="77"/>
        <v>0</v>
      </c>
      <c r="Z126" s="665" t="s">
        <v>14</v>
      </c>
      <c r="AA126" s="666" t="str">
        <f t="shared" si="105"/>
        <v>RABONA</v>
      </c>
      <c r="AB126" s="667" t="str">
        <f t="shared" si="78"/>
        <v>COMPLETED</v>
      </c>
      <c r="AC126" s="668"/>
      <c r="AD126" s="669"/>
      <c r="AE126" s="670">
        <f t="shared" si="108"/>
        <v>0</v>
      </c>
      <c r="AF126" s="653"/>
      <c r="AG126" s="671">
        <f t="shared" si="106"/>
        <v>68</v>
      </c>
      <c r="AH126" s="672">
        <f t="shared" si="107"/>
        <v>0</v>
      </c>
      <c r="AI126" s="653" t="s">
        <v>104</v>
      </c>
    </row>
    <row r="127" spans="1:35" s="172" customFormat="1" ht="56" hidden="1" customHeight="1" x14ac:dyDescent="0.25">
      <c r="A127" s="316" t="s">
        <v>615</v>
      </c>
      <c r="B127" s="645"/>
      <c r="C127" s="646" t="str">
        <f t="shared" si="79"/>
        <v>26/1/</v>
      </c>
      <c r="D127" s="647" t="s">
        <v>271</v>
      </c>
      <c r="E127" s="649" t="s">
        <v>542</v>
      </c>
      <c r="F127" s="648" t="s">
        <v>144</v>
      </c>
      <c r="G127" s="779" t="s">
        <v>39</v>
      </c>
      <c r="H127" s="651" t="s">
        <v>770</v>
      </c>
      <c r="I127" s="697"/>
      <c r="J127" s="652"/>
      <c r="K127" s="675"/>
      <c r="L127" s="654">
        <v>46041</v>
      </c>
      <c r="M127" s="655">
        <f t="shared" si="102"/>
        <v>46041</v>
      </c>
      <c r="N127" s="656" t="s">
        <v>549</v>
      </c>
      <c r="O127" s="657" t="s">
        <v>556</v>
      </c>
      <c r="P127" s="657" t="s">
        <v>128</v>
      </c>
      <c r="Q127" s="676" t="s">
        <v>115</v>
      </c>
      <c r="R127" s="659">
        <v>202.86</v>
      </c>
      <c r="S127" s="660">
        <f>R127/3.6714</f>
        <v>55.254126491256741</v>
      </c>
      <c r="T127" s="661">
        <f>S127</f>
        <v>55.254126491256741</v>
      </c>
      <c r="U127" s="662"/>
      <c r="V127" s="690">
        <f t="shared" si="109"/>
        <v>46041</v>
      </c>
      <c r="W127" s="663">
        <f t="shared" si="104"/>
        <v>46041</v>
      </c>
      <c r="X127" s="664">
        <f t="shared" si="76"/>
        <v>55.254126491256741</v>
      </c>
      <c r="Y127" s="660">
        <f t="shared" si="77"/>
        <v>0</v>
      </c>
      <c r="Z127" s="665" t="s">
        <v>14</v>
      </c>
      <c r="AA127" s="666" t="str">
        <f t="shared" si="105"/>
        <v>RABONA</v>
      </c>
      <c r="AB127" s="667" t="str">
        <f t="shared" si="78"/>
        <v>COMPLETED</v>
      </c>
      <c r="AC127" s="668"/>
      <c r="AD127" s="669"/>
      <c r="AE127" s="670">
        <f t="shared" si="108"/>
        <v>0</v>
      </c>
      <c r="AF127" s="653"/>
      <c r="AG127" s="671">
        <f t="shared" si="106"/>
        <v>55.254126491256741</v>
      </c>
      <c r="AH127" s="672">
        <f t="shared" si="107"/>
        <v>0</v>
      </c>
      <c r="AI127" s="653" t="s">
        <v>104</v>
      </c>
    </row>
    <row r="128" spans="1:35" s="172" customFormat="1" ht="56" hidden="1" customHeight="1" x14ac:dyDescent="0.25">
      <c r="A128" s="316"/>
      <c r="B128" s="645"/>
      <c r="C128" s="646" t="str">
        <f>C127</f>
        <v>26/1/</v>
      </c>
      <c r="D128" s="647" t="s">
        <v>272</v>
      </c>
      <c r="E128" s="649" t="s">
        <v>542</v>
      </c>
      <c r="F128" s="648" t="s">
        <v>144</v>
      </c>
      <c r="G128" s="779" t="s">
        <v>39</v>
      </c>
      <c r="H128" s="651" t="s">
        <v>771</v>
      </c>
      <c r="I128" s="697"/>
      <c r="J128" s="652"/>
      <c r="K128" s="675"/>
      <c r="L128" s="654">
        <v>46023</v>
      </c>
      <c r="M128" s="655">
        <f t="shared" si="102"/>
        <v>46023</v>
      </c>
      <c r="N128" s="656" t="s">
        <v>785</v>
      </c>
      <c r="O128" s="657" t="s">
        <v>93</v>
      </c>
      <c r="P128" s="657" t="s">
        <v>60</v>
      </c>
      <c r="Q128" s="676" t="s">
        <v>115</v>
      </c>
      <c r="R128" s="659">
        <v>234.21</v>
      </c>
      <c r="S128" s="660">
        <f>R128/3.7412</f>
        <v>62.602908157810326</v>
      </c>
      <c r="T128" s="661">
        <f>S128</f>
        <v>62.602908157810326</v>
      </c>
      <c r="U128" s="662"/>
      <c r="V128" s="690">
        <f t="shared" si="109"/>
        <v>46023</v>
      </c>
      <c r="W128" s="663">
        <f t="shared" si="104"/>
        <v>46023</v>
      </c>
      <c r="X128" s="664">
        <f t="shared" si="76"/>
        <v>62.602908157810326</v>
      </c>
      <c r="Y128" s="660">
        <f t="shared" si="77"/>
        <v>0</v>
      </c>
      <c r="Z128" s="665" t="s">
        <v>14</v>
      </c>
      <c r="AA128" s="666" t="str">
        <f t="shared" si="105"/>
        <v>RABONA</v>
      </c>
      <c r="AB128" s="667" t="str">
        <f t="shared" si="78"/>
        <v>COMPLETED</v>
      </c>
      <c r="AC128" s="682"/>
      <c r="AD128" s="669"/>
      <c r="AE128" s="670">
        <f t="shared" si="108"/>
        <v>0</v>
      </c>
      <c r="AF128" s="653"/>
      <c r="AG128" s="671">
        <f t="shared" si="106"/>
        <v>62.602908157810326</v>
      </c>
      <c r="AH128" s="672">
        <f t="shared" si="107"/>
        <v>0</v>
      </c>
      <c r="AI128" s="653" t="s">
        <v>104</v>
      </c>
    </row>
    <row r="129" spans="1:35" s="172" customFormat="1" ht="56" hidden="1" customHeight="1" x14ac:dyDescent="0.25">
      <c r="A129" s="316"/>
      <c r="B129" s="645"/>
      <c r="C129" s="646" t="str">
        <f t="shared" si="79"/>
        <v>26/1/</v>
      </c>
      <c r="D129" s="647" t="s">
        <v>273</v>
      </c>
      <c r="E129" s="648" t="s">
        <v>542</v>
      </c>
      <c r="F129" s="648" t="s">
        <v>144</v>
      </c>
      <c r="G129" s="779" t="s">
        <v>39</v>
      </c>
      <c r="H129" s="651" t="s">
        <v>772</v>
      </c>
      <c r="I129" s="652"/>
      <c r="J129" s="652"/>
      <c r="K129" s="675"/>
      <c r="L129" s="654">
        <v>46043</v>
      </c>
      <c r="M129" s="655">
        <f t="shared" si="102"/>
        <v>46043</v>
      </c>
      <c r="N129" s="656" t="s">
        <v>786</v>
      </c>
      <c r="O129" s="657" t="s">
        <v>62</v>
      </c>
      <c r="P129" s="657" t="s">
        <v>62</v>
      </c>
      <c r="Q129" s="676" t="s">
        <v>115</v>
      </c>
      <c r="R129" s="659"/>
      <c r="S129" s="660">
        <v>20.100000000000001</v>
      </c>
      <c r="T129" s="661">
        <f t="shared" ref="T129:T130" si="110">S129</f>
        <v>20.100000000000001</v>
      </c>
      <c r="U129" s="662"/>
      <c r="V129" s="690">
        <f t="shared" si="109"/>
        <v>46043</v>
      </c>
      <c r="W129" s="663">
        <f t="shared" si="104"/>
        <v>46043</v>
      </c>
      <c r="X129" s="664">
        <f t="shared" si="76"/>
        <v>20.100000000000001</v>
      </c>
      <c r="Y129" s="660">
        <f t="shared" si="77"/>
        <v>0</v>
      </c>
      <c r="Z129" s="665" t="s">
        <v>14</v>
      </c>
      <c r="AA129" s="666" t="str">
        <f t="shared" si="105"/>
        <v>RABONA</v>
      </c>
      <c r="AB129" s="667" t="str">
        <f t="shared" si="78"/>
        <v>COMPLETED</v>
      </c>
      <c r="AC129" s="668"/>
      <c r="AD129" s="669"/>
      <c r="AE129" s="670">
        <f t="shared" si="108"/>
        <v>0</v>
      </c>
      <c r="AF129" s="653"/>
      <c r="AG129" s="671">
        <f t="shared" si="106"/>
        <v>20.100000000000001</v>
      </c>
      <c r="AH129" s="672">
        <f t="shared" si="107"/>
        <v>0</v>
      </c>
      <c r="AI129" s="653" t="s">
        <v>104</v>
      </c>
    </row>
    <row r="130" spans="1:35" s="172" customFormat="1" ht="56" hidden="1" customHeight="1" thickBot="1" x14ac:dyDescent="0.25">
      <c r="A130" s="316"/>
      <c r="B130" s="645"/>
      <c r="C130" s="646" t="str">
        <f t="shared" si="79"/>
        <v>26/1/</v>
      </c>
      <c r="D130" s="647" t="s">
        <v>274</v>
      </c>
      <c r="E130" s="649" t="s">
        <v>542</v>
      </c>
      <c r="F130" s="648" t="s">
        <v>144</v>
      </c>
      <c r="G130" s="779" t="s">
        <v>39</v>
      </c>
      <c r="H130" s="651"/>
      <c r="I130" s="652"/>
      <c r="J130" s="652"/>
      <c r="K130" s="675"/>
      <c r="L130" s="654">
        <v>46030</v>
      </c>
      <c r="M130" s="655">
        <f t="shared" si="102"/>
        <v>46030</v>
      </c>
      <c r="N130" s="674" t="s">
        <v>787</v>
      </c>
      <c r="O130" s="657" t="s">
        <v>788</v>
      </c>
      <c r="P130" s="657" t="s">
        <v>80</v>
      </c>
      <c r="Q130" s="676" t="s">
        <v>77</v>
      </c>
      <c r="R130" s="659"/>
      <c r="S130" s="660">
        <v>68</v>
      </c>
      <c r="T130" s="661">
        <f t="shared" si="110"/>
        <v>68</v>
      </c>
      <c r="U130" s="662"/>
      <c r="V130" s="690">
        <f t="shared" si="109"/>
        <v>46030</v>
      </c>
      <c r="W130" s="663">
        <f t="shared" si="104"/>
        <v>46030</v>
      </c>
      <c r="X130" s="664">
        <f t="shared" si="76"/>
        <v>68</v>
      </c>
      <c r="Y130" s="660">
        <f t="shared" si="77"/>
        <v>0</v>
      </c>
      <c r="Z130" s="665" t="s">
        <v>14</v>
      </c>
      <c r="AA130" s="666" t="str">
        <f t="shared" si="105"/>
        <v>RABONA</v>
      </c>
      <c r="AB130" s="667" t="str">
        <f t="shared" si="78"/>
        <v>COMPLETED</v>
      </c>
      <c r="AC130" s="696"/>
      <c r="AD130" s="669"/>
      <c r="AE130" s="670">
        <f t="shared" si="108"/>
        <v>0</v>
      </c>
      <c r="AF130" s="653"/>
      <c r="AG130" s="671">
        <f t="shared" si="106"/>
        <v>68</v>
      </c>
      <c r="AH130" s="672">
        <f t="shared" si="107"/>
        <v>0</v>
      </c>
      <c r="AI130" s="653" t="s">
        <v>104</v>
      </c>
    </row>
    <row r="131" spans="1:35" s="852" customFormat="1" ht="56" hidden="1" customHeight="1" x14ac:dyDescent="0.25">
      <c r="A131" s="918"/>
      <c r="B131" s="919"/>
      <c r="C131" s="825" t="str">
        <f t="shared" si="79"/>
        <v>26/1/</v>
      </c>
      <c r="D131" s="826" t="s">
        <v>275</v>
      </c>
      <c r="E131" s="828" t="s">
        <v>542</v>
      </c>
      <c r="F131" s="828" t="s">
        <v>144</v>
      </c>
      <c r="G131" s="829" t="s">
        <v>39</v>
      </c>
      <c r="H131" s="830"/>
      <c r="I131" s="831"/>
      <c r="J131" s="832"/>
      <c r="K131" s="874"/>
      <c r="L131" s="834">
        <v>45901</v>
      </c>
      <c r="M131" s="835">
        <f t="shared" si="102"/>
        <v>45901</v>
      </c>
      <c r="N131" s="836" t="s">
        <v>616</v>
      </c>
      <c r="O131" s="837" t="s">
        <v>137</v>
      </c>
      <c r="P131" s="837" t="s">
        <v>85</v>
      </c>
      <c r="Q131" s="838" t="s">
        <v>77</v>
      </c>
      <c r="R131" s="862"/>
      <c r="S131" s="843"/>
      <c r="T131" s="870"/>
      <c r="U131" s="871"/>
      <c r="V131" s="876">
        <v>45812</v>
      </c>
      <c r="W131" s="841">
        <f t="shared" si="104"/>
        <v>45812</v>
      </c>
      <c r="X131" s="842">
        <f t="shared" si="76"/>
        <v>0</v>
      </c>
      <c r="Y131" s="843">
        <f t="shared" si="77"/>
        <v>0</v>
      </c>
      <c r="Z131" s="875" t="s">
        <v>14</v>
      </c>
      <c r="AA131" s="845" t="str">
        <f t="shared" si="105"/>
        <v>RABONA</v>
      </c>
      <c r="AB131" s="846" t="str">
        <f t="shared" si="78"/>
        <v>COMPLETED</v>
      </c>
      <c r="AC131" s="869"/>
      <c r="AD131" s="848"/>
      <c r="AE131" s="849">
        <f t="shared" si="108"/>
        <v>0</v>
      </c>
      <c r="AF131" s="833"/>
      <c r="AG131" s="850">
        <f t="shared" si="106"/>
        <v>0</v>
      </c>
      <c r="AH131" s="851">
        <f t="shared" si="107"/>
        <v>0</v>
      </c>
      <c r="AI131" s="833" t="s">
        <v>104</v>
      </c>
    </row>
    <row r="132" spans="1:35" s="852" customFormat="1" ht="56" hidden="1" customHeight="1" x14ac:dyDescent="0.25">
      <c r="A132" s="918"/>
      <c r="B132" s="919"/>
      <c r="C132" s="825" t="str">
        <f t="shared" si="79"/>
        <v>26/1/</v>
      </c>
      <c r="D132" s="826" t="s">
        <v>276</v>
      </c>
      <c r="E132" s="828" t="s">
        <v>542</v>
      </c>
      <c r="F132" s="828" t="s">
        <v>144</v>
      </c>
      <c r="G132" s="829" t="s">
        <v>39</v>
      </c>
      <c r="H132" s="830"/>
      <c r="I132" s="832"/>
      <c r="J132" s="832"/>
      <c r="K132" s="874"/>
      <c r="L132" s="834">
        <v>45900</v>
      </c>
      <c r="M132" s="835">
        <f t="shared" si="102"/>
        <v>45900</v>
      </c>
      <c r="N132" s="836" t="s">
        <v>130</v>
      </c>
      <c r="O132" s="837" t="s">
        <v>617</v>
      </c>
      <c r="P132" s="837" t="s">
        <v>82</v>
      </c>
      <c r="Q132" s="838" t="s">
        <v>77</v>
      </c>
      <c r="R132" s="862"/>
      <c r="S132" s="843"/>
      <c r="T132" s="870"/>
      <c r="U132" s="871"/>
      <c r="V132" s="876">
        <v>45915</v>
      </c>
      <c r="W132" s="841">
        <f t="shared" si="104"/>
        <v>45915</v>
      </c>
      <c r="X132" s="842">
        <f t="shared" si="76"/>
        <v>0</v>
      </c>
      <c r="Y132" s="843">
        <f t="shared" si="77"/>
        <v>0</v>
      </c>
      <c r="Z132" s="875" t="s">
        <v>14</v>
      </c>
      <c r="AA132" s="845" t="str">
        <f t="shared" si="105"/>
        <v>RABONA</v>
      </c>
      <c r="AB132" s="846" t="str">
        <f t="shared" si="78"/>
        <v>COMPLETED</v>
      </c>
      <c r="AC132" s="847"/>
      <c r="AD132" s="848"/>
      <c r="AE132" s="849">
        <f t="shared" si="108"/>
        <v>0</v>
      </c>
      <c r="AF132" s="833"/>
      <c r="AG132" s="850">
        <f t="shared" si="106"/>
        <v>0</v>
      </c>
      <c r="AH132" s="851">
        <f t="shared" si="107"/>
        <v>0</v>
      </c>
      <c r="AI132" s="833" t="s">
        <v>104</v>
      </c>
    </row>
    <row r="133" spans="1:35" s="852" customFormat="1" ht="56" hidden="1" customHeight="1" x14ac:dyDescent="0.25">
      <c r="A133" s="918"/>
      <c r="B133" s="919"/>
      <c r="C133" s="825" t="str">
        <f t="shared" si="79"/>
        <v>26/1/</v>
      </c>
      <c r="D133" s="826" t="s">
        <v>277</v>
      </c>
      <c r="E133" s="827" t="s">
        <v>542</v>
      </c>
      <c r="F133" s="828" t="s">
        <v>144</v>
      </c>
      <c r="G133" s="829" t="s">
        <v>39</v>
      </c>
      <c r="H133" s="830"/>
      <c r="I133" s="832"/>
      <c r="J133" s="865"/>
      <c r="K133" s="866"/>
      <c r="L133" s="867">
        <v>45825</v>
      </c>
      <c r="M133" s="835">
        <f t="shared" si="102"/>
        <v>45825</v>
      </c>
      <c r="N133" s="836" t="s">
        <v>451</v>
      </c>
      <c r="O133" s="837" t="s">
        <v>93</v>
      </c>
      <c r="P133" s="837" t="s">
        <v>93</v>
      </c>
      <c r="Q133" s="838" t="s">
        <v>90</v>
      </c>
      <c r="R133" s="839"/>
      <c r="S133" s="840"/>
      <c r="T133" s="870"/>
      <c r="U133" s="871"/>
      <c r="V133" s="876">
        <f t="shared" ref="V133:V143" si="111">L133</f>
        <v>45825</v>
      </c>
      <c r="W133" s="841">
        <f t="shared" si="104"/>
        <v>45825</v>
      </c>
      <c r="X133" s="842">
        <f t="shared" si="76"/>
        <v>0</v>
      </c>
      <c r="Y133" s="843">
        <f t="shared" si="77"/>
        <v>0</v>
      </c>
      <c r="Z133" s="875" t="s">
        <v>14</v>
      </c>
      <c r="AA133" s="845" t="str">
        <f t="shared" si="105"/>
        <v>RABONA</v>
      </c>
      <c r="AB133" s="846" t="str">
        <f t="shared" si="78"/>
        <v>COMPLETED</v>
      </c>
      <c r="AC133" s="847"/>
      <c r="AD133" s="848"/>
      <c r="AE133" s="849">
        <f t="shared" si="108"/>
        <v>0</v>
      </c>
      <c r="AF133" s="833"/>
      <c r="AG133" s="850">
        <f t="shared" si="106"/>
        <v>0</v>
      </c>
      <c r="AH133" s="851">
        <f t="shared" si="107"/>
        <v>0</v>
      </c>
      <c r="AI133" s="833" t="s">
        <v>104</v>
      </c>
    </row>
    <row r="134" spans="1:35" s="852" customFormat="1" ht="56" hidden="1" customHeight="1" x14ac:dyDescent="0.25">
      <c r="A134" s="918"/>
      <c r="B134" s="919"/>
      <c r="C134" s="825" t="str">
        <f t="shared" si="79"/>
        <v>26/1/</v>
      </c>
      <c r="D134" s="826" t="s">
        <v>278</v>
      </c>
      <c r="E134" s="828" t="s">
        <v>542</v>
      </c>
      <c r="F134" s="828" t="s">
        <v>144</v>
      </c>
      <c r="G134" s="829" t="s">
        <v>39</v>
      </c>
      <c r="H134" s="830"/>
      <c r="I134" s="832"/>
      <c r="J134" s="832"/>
      <c r="K134" s="833"/>
      <c r="L134" s="834">
        <v>45799</v>
      </c>
      <c r="M134" s="835">
        <f t="shared" si="102"/>
        <v>45799</v>
      </c>
      <c r="N134" s="836" t="s">
        <v>598</v>
      </c>
      <c r="O134" s="837" t="s">
        <v>93</v>
      </c>
      <c r="P134" s="837" t="s">
        <v>93</v>
      </c>
      <c r="Q134" s="838" t="s">
        <v>90</v>
      </c>
      <c r="R134" s="862"/>
      <c r="S134" s="843"/>
      <c r="T134" s="870"/>
      <c r="U134" s="871"/>
      <c r="V134" s="876">
        <v>45809</v>
      </c>
      <c r="W134" s="841">
        <f t="shared" si="104"/>
        <v>45809</v>
      </c>
      <c r="X134" s="842">
        <f t="shared" si="76"/>
        <v>0</v>
      </c>
      <c r="Y134" s="843">
        <f t="shared" si="77"/>
        <v>0</v>
      </c>
      <c r="Z134" s="875" t="s">
        <v>14</v>
      </c>
      <c r="AA134" s="845" t="str">
        <f t="shared" si="105"/>
        <v>RABONA</v>
      </c>
      <c r="AB134" s="846" t="str">
        <f t="shared" si="78"/>
        <v>COMPLETED</v>
      </c>
      <c r="AC134" s="847"/>
      <c r="AD134" s="848"/>
      <c r="AE134" s="849">
        <f t="shared" si="108"/>
        <v>0</v>
      </c>
      <c r="AF134" s="833"/>
      <c r="AG134" s="850">
        <f t="shared" si="106"/>
        <v>0</v>
      </c>
      <c r="AH134" s="851">
        <f t="shared" si="107"/>
        <v>0</v>
      </c>
      <c r="AI134" s="833" t="s">
        <v>104</v>
      </c>
    </row>
    <row r="135" spans="1:35" s="852" customFormat="1" ht="56" customHeight="1" x14ac:dyDescent="0.25">
      <c r="A135" s="918"/>
      <c r="B135" s="919"/>
      <c r="C135" s="825" t="str">
        <f t="shared" si="79"/>
        <v>26/1/</v>
      </c>
      <c r="D135" s="826" t="s">
        <v>279</v>
      </c>
      <c r="E135" s="828" t="s">
        <v>446</v>
      </c>
      <c r="F135" s="828" t="s">
        <v>144</v>
      </c>
      <c r="G135" s="829" t="s">
        <v>24</v>
      </c>
      <c r="H135" s="830"/>
      <c r="I135" s="832"/>
      <c r="J135" s="832"/>
      <c r="K135" s="833"/>
      <c r="L135" s="858">
        <v>45789</v>
      </c>
      <c r="M135" s="835">
        <f t="shared" si="102"/>
        <v>45789</v>
      </c>
      <c r="N135" s="836" t="s">
        <v>582</v>
      </c>
      <c r="O135" s="837" t="s">
        <v>120</v>
      </c>
      <c r="P135" s="837"/>
      <c r="Q135" s="838" t="s">
        <v>121</v>
      </c>
      <c r="R135" s="862"/>
      <c r="S135" s="843"/>
      <c r="T135" s="870"/>
      <c r="U135" s="871"/>
      <c r="V135" s="876">
        <f t="shared" si="111"/>
        <v>45789</v>
      </c>
      <c r="W135" s="841">
        <f t="shared" si="104"/>
        <v>45789</v>
      </c>
      <c r="X135" s="842">
        <f t="shared" si="76"/>
        <v>0</v>
      </c>
      <c r="Y135" s="843">
        <f t="shared" si="77"/>
        <v>0</v>
      </c>
      <c r="Z135" s="875" t="s">
        <v>447</v>
      </c>
      <c r="AA135" s="845" t="str">
        <f t="shared" si="105"/>
        <v>SHARE HOLDER</v>
      </c>
      <c r="AB135" s="846" t="str">
        <f t="shared" si="78"/>
        <v>COMPLETED</v>
      </c>
      <c r="AC135" s="847"/>
      <c r="AD135" s="848"/>
      <c r="AE135" s="849">
        <f t="shared" si="108"/>
        <v>0</v>
      </c>
      <c r="AF135" s="833"/>
      <c r="AG135" s="850">
        <f t="shared" si="106"/>
        <v>0</v>
      </c>
      <c r="AH135" s="851">
        <f t="shared" si="107"/>
        <v>0</v>
      </c>
      <c r="AI135" s="833" t="s">
        <v>23</v>
      </c>
    </row>
    <row r="136" spans="1:35" s="852" customFormat="1" ht="56" customHeight="1" x14ac:dyDescent="0.25">
      <c r="A136" s="918"/>
      <c r="B136" s="919"/>
      <c r="C136" s="825" t="str">
        <f t="shared" si="79"/>
        <v>26/1/</v>
      </c>
      <c r="D136" s="826" t="s">
        <v>280</v>
      </c>
      <c r="E136" s="827" t="s">
        <v>446</v>
      </c>
      <c r="F136" s="828" t="s">
        <v>144</v>
      </c>
      <c r="G136" s="829" t="s">
        <v>24</v>
      </c>
      <c r="H136" s="830"/>
      <c r="I136" s="832"/>
      <c r="J136" s="832"/>
      <c r="K136" s="874"/>
      <c r="L136" s="858">
        <v>45789</v>
      </c>
      <c r="M136" s="835">
        <f t="shared" si="102"/>
        <v>45789</v>
      </c>
      <c r="N136" s="836" t="s">
        <v>581</v>
      </c>
      <c r="O136" s="837" t="s">
        <v>120</v>
      </c>
      <c r="P136" s="837"/>
      <c r="Q136" s="838" t="s">
        <v>121</v>
      </c>
      <c r="R136" s="862"/>
      <c r="S136" s="843"/>
      <c r="T136" s="870"/>
      <c r="U136" s="871"/>
      <c r="V136" s="876">
        <f t="shared" si="111"/>
        <v>45789</v>
      </c>
      <c r="W136" s="841">
        <f t="shared" si="104"/>
        <v>45789</v>
      </c>
      <c r="X136" s="842">
        <f t="shared" si="76"/>
        <v>0</v>
      </c>
      <c r="Y136" s="843">
        <f t="shared" si="77"/>
        <v>0</v>
      </c>
      <c r="Z136" s="875" t="s">
        <v>447</v>
      </c>
      <c r="AA136" s="845" t="str">
        <f t="shared" si="105"/>
        <v>SHARE HOLDER</v>
      </c>
      <c r="AB136" s="846" t="str">
        <f t="shared" si="78"/>
        <v>COMPLETED</v>
      </c>
      <c r="AC136" s="847"/>
      <c r="AD136" s="848"/>
      <c r="AE136" s="849">
        <f t="shared" si="108"/>
        <v>0</v>
      </c>
      <c r="AF136" s="833"/>
      <c r="AG136" s="850">
        <f t="shared" si="106"/>
        <v>0</v>
      </c>
      <c r="AH136" s="851">
        <f t="shared" si="107"/>
        <v>0</v>
      </c>
      <c r="AI136" s="833" t="s">
        <v>23</v>
      </c>
    </row>
    <row r="137" spans="1:35" s="852" customFormat="1" ht="56" customHeight="1" x14ac:dyDescent="0.25">
      <c r="A137" s="918"/>
      <c r="B137" s="919"/>
      <c r="C137" s="825" t="str">
        <f t="shared" si="79"/>
        <v>26/1/</v>
      </c>
      <c r="D137" s="826" t="s">
        <v>281</v>
      </c>
      <c r="E137" s="828" t="s">
        <v>446</v>
      </c>
      <c r="F137" s="828" t="s">
        <v>144</v>
      </c>
      <c r="G137" s="829" t="s">
        <v>24</v>
      </c>
      <c r="H137" s="830"/>
      <c r="I137" s="832"/>
      <c r="J137" s="832"/>
      <c r="K137" s="863"/>
      <c r="L137" s="877">
        <v>45789</v>
      </c>
      <c r="M137" s="835">
        <f t="shared" si="102"/>
        <v>45789</v>
      </c>
      <c r="N137" s="836" t="s">
        <v>580</v>
      </c>
      <c r="O137" s="837" t="s">
        <v>120</v>
      </c>
      <c r="P137" s="837"/>
      <c r="Q137" s="838" t="s">
        <v>121</v>
      </c>
      <c r="R137" s="839"/>
      <c r="S137" s="840"/>
      <c r="T137" s="870"/>
      <c r="U137" s="871"/>
      <c r="V137" s="876">
        <f t="shared" si="111"/>
        <v>45789</v>
      </c>
      <c r="W137" s="841">
        <f t="shared" si="104"/>
        <v>45789</v>
      </c>
      <c r="X137" s="842">
        <f t="shared" ref="X137:X200" si="112">T137+U137</f>
        <v>0</v>
      </c>
      <c r="Y137" s="843">
        <f t="shared" ref="Y137:Y200" si="113">S137-X137</f>
        <v>0</v>
      </c>
      <c r="Z137" s="875" t="s">
        <v>447</v>
      </c>
      <c r="AA137" s="845" t="str">
        <f t="shared" si="105"/>
        <v>SHARE HOLDER</v>
      </c>
      <c r="AB137" s="846" t="str">
        <f t="shared" ref="AB137:AB200" si="114">IF(Y137&gt;0,"PENDING EXECUTION","COMPLETED")</f>
        <v>COMPLETED</v>
      </c>
      <c r="AC137" s="878"/>
      <c r="AD137" s="848"/>
      <c r="AE137" s="849">
        <f t="shared" si="108"/>
        <v>0</v>
      </c>
      <c r="AF137" s="833"/>
      <c r="AG137" s="850">
        <f t="shared" si="106"/>
        <v>0</v>
      </c>
      <c r="AH137" s="851">
        <f t="shared" si="107"/>
        <v>0</v>
      </c>
      <c r="AI137" s="833" t="s">
        <v>23</v>
      </c>
    </row>
    <row r="138" spans="1:35" s="852" customFormat="1" ht="56" customHeight="1" x14ac:dyDescent="0.25">
      <c r="A138" s="918"/>
      <c r="B138" s="919"/>
      <c r="C138" s="825" t="str">
        <f t="shared" ref="C138:C201" si="115">IF(A137=0,$C$4,"-")</f>
        <v>26/1/</v>
      </c>
      <c r="D138" s="826" t="s">
        <v>282</v>
      </c>
      <c r="E138" s="828" t="s">
        <v>446</v>
      </c>
      <c r="F138" s="828" t="s">
        <v>144</v>
      </c>
      <c r="G138" s="829" t="s">
        <v>24</v>
      </c>
      <c r="H138" s="830"/>
      <c r="I138" s="832"/>
      <c r="J138" s="865"/>
      <c r="K138" s="866"/>
      <c r="L138" s="867">
        <v>45789</v>
      </c>
      <c r="M138" s="835">
        <f t="shared" si="102"/>
        <v>45789</v>
      </c>
      <c r="N138" s="860" t="s">
        <v>578</v>
      </c>
      <c r="O138" s="879" t="s">
        <v>120</v>
      </c>
      <c r="P138" s="837"/>
      <c r="Q138" s="838" t="s">
        <v>121</v>
      </c>
      <c r="R138" s="839"/>
      <c r="S138" s="840"/>
      <c r="T138" s="870"/>
      <c r="U138" s="871"/>
      <c r="V138" s="876">
        <v>45789</v>
      </c>
      <c r="W138" s="841">
        <f t="shared" si="104"/>
        <v>45789</v>
      </c>
      <c r="X138" s="842">
        <f t="shared" si="112"/>
        <v>0</v>
      </c>
      <c r="Y138" s="843">
        <f t="shared" si="113"/>
        <v>0</v>
      </c>
      <c r="Z138" s="875" t="s">
        <v>447</v>
      </c>
      <c r="AA138" s="845" t="str">
        <f t="shared" si="105"/>
        <v>SHARE HOLDER</v>
      </c>
      <c r="AB138" s="846" t="str">
        <f t="shared" si="114"/>
        <v>COMPLETED</v>
      </c>
      <c r="AC138" s="869"/>
      <c r="AD138" s="848"/>
      <c r="AE138" s="849">
        <f t="shared" si="108"/>
        <v>0</v>
      </c>
      <c r="AF138" s="833"/>
      <c r="AG138" s="850">
        <f t="shared" si="106"/>
        <v>0</v>
      </c>
      <c r="AH138" s="851">
        <f t="shared" si="107"/>
        <v>0</v>
      </c>
      <c r="AI138" s="833" t="s">
        <v>23</v>
      </c>
    </row>
    <row r="139" spans="1:35" s="852" customFormat="1" ht="56" customHeight="1" x14ac:dyDescent="0.25">
      <c r="A139" s="918"/>
      <c r="B139" s="919"/>
      <c r="C139" s="825" t="str">
        <f t="shared" si="115"/>
        <v>26/1/</v>
      </c>
      <c r="D139" s="826" t="s">
        <v>283</v>
      </c>
      <c r="E139" s="828" t="s">
        <v>446</v>
      </c>
      <c r="F139" s="828" t="s">
        <v>144</v>
      </c>
      <c r="G139" s="829" t="s">
        <v>24</v>
      </c>
      <c r="H139" s="830"/>
      <c r="I139" s="832"/>
      <c r="J139" s="832"/>
      <c r="K139" s="874"/>
      <c r="L139" s="834">
        <v>45789</v>
      </c>
      <c r="M139" s="835">
        <f t="shared" si="102"/>
        <v>45789</v>
      </c>
      <c r="N139" s="860" t="s">
        <v>583</v>
      </c>
      <c r="O139" s="879" t="s">
        <v>120</v>
      </c>
      <c r="P139" s="837"/>
      <c r="Q139" s="838" t="s">
        <v>121</v>
      </c>
      <c r="R139" s="862"/>
      <c r="S139" s="843"/>
      <c r="T139" s="870"/>
      <c r="U139" s="871"/>
      <c r="V139" s="876">
        <f t="shared" si="111"/>
        <v>45789</v>
      </c>
      <c r="W139" s="841">
        <f t="shared" ref="W139:W170" si="116">V139</f>
        <v>45789</v>
      </c>
      <c r="X139" s="842">
        <f t="shared" si="112"/>
        <v>0</v>
      </c>
      <c r="Y139" s="843">
        <f t="shared" si="113"/>
        <v>0</v>
      </c>
      <c r="Z139" s="875" t="s">
        <v>447</v>
      </c>
      <c r="AA139" s="845" t="str">
        <f t="shared" si="105"/>
        <v>SHARE HOLDER</v>
      </c>
      <c r="AB139" s="846" t="str">
        <f t="shared" si="114"/>
        <v>COMPLETED</v>
      </c>
      <c r="AC139" s="847"/>
      <c r="AD139" s="848"/>
      <c r="AE139" s="849">
        <f t="shared" si="108"/>
        <v>0</v>
      </c>
      <c r="AF139" s="833"/>
      <c r="AG139" s="850">
        <f t="shared" si="106"/>
        <v>0</v>
      </c>
      <c r="AH139" s="851">
        <f t="shared" si="107"/>
        <v>0</v>
      </c>
      <c r="AI139" s="833" t="s">
        <v>23</v>
      </c>
    </row>
    <row r="140" spans="1:35" s="852" customFormat="1" ht="56" customHeight="1" x14ac:dyDescent="0.25">
      <c r="A140" s="918"/>
      <c r="B140" s="919"/>
      <c r="C140" s="825" t="str">
        <f t="shared" si="115"/>
        <v>26/1/</v>
      </c>
      <c r="D140" s="826" t="s">
        <v>284</v>
      </c>
      <c r="E140" s="827" t="s">
        <v>446</v>
      </c>
      <c r="F140" s="828" t="s">
        <v>144</v>
      </c>
      <c r="G140" s="829" t="s">
        <v>24</v>
      </c>
      <c r="H140" s="830"/>
      <c r="I140" s="832"/>
      <c r="J140" s="865"/>
      <c r="K140" s="866"/>
      <c r="L140" s="867">
        <v>45789</v>
      </c>
      <c r="M140" s="835">
        <f t="shared" si="102"/>
        <v>45789</v>
      </c>
      <c r="N140" s="880" t="s">
        <v>578</v>
      </c>
      <c r="O140" s="879" t="s">
        <v>120</v>
      </c>
      <c r="P140" s="837"/>
      <c r="Q140" s="838" t="s">
        <v>121</v>
      </c>
      <c r="R140" s="839"/>
      <c r="S140" s="840"/>
      <c r="T140" s="870"/>
      <c r="U140" s="871"/>
      <c r="V140" s="876">
        <f t="shared" si="111"/>
        <v>45789</v>
      </c>
      <c r="W140" s="841">
        <f t="shared" si="116"/>
        <v>45789</v>
      </c>
      <c r="X140" s="842">
        <f t="shared" si="112"/>
        <v>0</v>
      </c>
      <c r="Y140" s="843">
        <f t="shared" si="113"/>
        <v>0</v>
      </c>
      <c r="Z140" s="875" t="s">
        <v>447</v>
      </c>
      <c r="AA140" s="845" t="str">
        <f t="shared" si="105"/>
        <v>SHARE HOLDER</v>
      </c>
      <c r="AB140" s="846" t="str">
        <f t="shared" si="114"/>
        <v>COMPLETED</v>
      </c>
      <c r="AC140" s="847"/>
      <c r="AD140" s="848"/>
      <c r="AE140" s="849">
        <f t="shared" si="108"/>
        <v>0</v>
      </c>
      <c r="AF140" s="833"/>
      <c r="AG140" s="850">
        <f t="shared" si="106"/>
        <v>0</v>
      </c>
      <c r="AH140" s="851">
        <f t="shared" si="107"/>
        <v>0</v>
      </c>
      <c r="AI140" s="833" t="s">
        <v>23</v>
      </c>
    </row>
    <row r="141" spans="1:35" s="852" customFormat="1" ht="56" hidden="1" customHeight="1" x14ac:dyDescent="0.25">
      <c r="A141" s="918"/>
      <c r="B141" s="919"/>
      <c r="C141" s="825" t="str">
        <f t="shared" si="115"/>
        <v>26/1/</v>
      </c>
      <c r="D141" s="826" t="s">
        <v>285</v>
      </c>
      <c r="E141" s="828" t="s">
        <v>446</v>
      </c>
      <c r="F141" s="828" t="s">
        <v>144</v>
      </c>
      <c r="G141" s="829" t="s">
        <v>24</v>
      </c>
      <c r="H141" s="830"/>
      <c r="I141" s="832"/>
      <c r="J141" s="865"/>
      <c r="K141" s="866"/>
      <c r="L141" s="834">
        <v>45789</v>
      </c>
      <c r="M141" s="835">
        <f t="shared" si="102"/>
        <v>45789</v>
      </c>
      <c r="N141" s="923" t="s">
        <v>634</v>
      </c>
      <c r="O141" s="657" t="s">
        <v>635</v>
      </c>
      <c r="P141" s="657" t="s">
        <v>75</v>
      </c>
      <c r="Q141" s="676" t="s">
        <v>71</v>
      </c>
      <c r="R141" s="839"/>
      <c r="S141" s="840"/>
      <c r="T141" s="870"/>
      <c r="U141" s="871"/>
      <c r="V141" s="876">
        <f t="shared" si="111"/>
        <v>45789</v>
      </c>
      <c r="W141" s="841">
        <f t="shared" si="116"/>
        <v>45789</v>
      </c>
      <c r="X141" s="842">
        <f t="shared" si="112"/>
        <v>0</v>
      </c>
      <c r="Y141" s="843">
        <f t="shared" si="113"/>
        <v>0</v>
      </c>
      <c r="Z141" s="875" t="s">
        <v>447</v>
      </c>
      <c r="AA141" s="845" t="str">
        <f t="shared" ref="AA141:AA172" si="117">G141</f>
        <v>SHARE HOLDER</v>
      </c>
      <c r="AB141" s="846" t="str">
        <f t="shared" si="114"/>
        <v>COMPLETED</v>
      </c>
      <c r="AC141" s="847"/>
      <c r="AD141" s="848"/>
      <c r="AE141" s="849">
        <f t="shared" si="108"/>
        <v>0</v>
      </c>
      <c r="AF141" s="833"/>
      <c r="AG141" s="850">
        <f t="shared" si="106"/>
        <v>0</v>
      </c>
      <c r="AH141" s="851">
        <f t="shared" si="107"/>
        <v>0</v>
      </c>
      <c r="AI141" s="833" t="s">
        <v>23</v>
      </c>
    </row>
    <row r="142" spans="1:35" s="852" customFormat="1" ht="56" customHeight="1" x14ac:dyDescent="0.25">
      <c r="A142" s="918"/>
      <c r="B142" s="919"/>
      <c r="C142" s="825" t="str">
        <f t="shared" si="115"/>
        <v>26/1/</v>
      </c>
      <c r="D142" s="826" t="s">
        <v>286</v>
      </c>
      <c r="E142" s="828" t="s">
        <v>446</v>
      </c>
      <c r="F142" s="828" t="s">
        <v>144</v>
      </c>
      <c r="G142" s="829" t="s">
        <v>24</v>
      </c>
      <c r="H142" s="830"/>
      <c r="I142" s="832"/>
      <c r="J142" s="865"/>
      <c r="K142" s="881"/>
      <c r="L142" s="867">
        <v>45789</v>
      </c>
      <c r="M142" s="835">
        <f t="shared" si="102"/>
        <v>45789</v>
      </c>
      <c r="N142" s="860" t="s">
        <v>584</v>
      </c>
      <c r="O142" s="879" t="s">
        <v>120</v>
      </c>
      <c r="P142" s="837"/>
      <c r="Q142" s="838" t="s">
        <v>121</v>
      </c>
      <c r="R142" s="839"/>
      <c r="S142" s="840"/>
      <c r="T142" s="872"/>
      <c r="U142" s="873"/>
      <c r="V142" s="876">
        <f t="shared" si="111"/>
        <v>45789</v>
      </c>
      <c r="W142" s="841">
        <f t="shared" si="116"/>
        <v>45789</v>
      </c>
      <c r="X142" s="842">
        <f t="shared" si="112"/>
        <v>0</v>
      </c>
      <c r="Y142" s="843">
        <f t="shared" si="113"/>
        <v>0</v>
      </c>
      <c r="Z142" s="875" t="s">
        <v>447</v>
      </c>
      <c r="AA142" s="845" t="str">
        <f t="shared" si="117"/>
        <v>SHARE HOLDER</v>
      </c>
      <c r="AB142" s="846" t="str">
        <f t="shared" si="114"/>
        <v>COMPLETED</v>
      </c>
      <c r="AC142" s="847"/>
      <c r="AD142" s="848"/>
      <c r="AE142" s="849">
        <f t="shared" si="108"/>
        <v>0</v>
      </c>
      <c r="AF142" s="833"/>
      <c r="AG142" s="850">
        <f t="shared" si="106"/>
        <v>0</v>
      </c>
      <c r="AH142" s="851">
        <f t="shared" si="107"/>
        <v>0</v>
      </c>
      <c r="AI142" s="833" t="s">
        <v>23</v>
      </c>
    </row>
    <row r="143" spans="1:35" s="852" customFormat="1" ht="56" customHeight="1" x14ac:dyDescent="0.25">
      <c r="A143" s="918"/>
      <c r="B143" s="919"/>
      <c r="C143" s="825" t="str">
        <f t="shared" si="115"/>
        <v>26/1/</v>
      </c>
      <c r="D143" s="826" t="s">
        <v>287</v>
      </c>
      <c r="E143" s="828" t="s">
        <v>446</v>
      </c>
      <c r="F143" s="828" t="s">
        <v>144</v>
      </c>
      <c r="G143" s="829" t="s">
        <v>24</v>
      </c>
      <c r="H143" s="830"/>
      <c r="I143" s="832"/>
      <c r="J143" s="865"/>
      <c r="K143" s="881"/>
      <c r="L143" s="834">
        <v>45789</v>
      </c>
      <c r="M143" s="835">
        <f t="shared" ref="M143" si="118">L143</f>
        <v>45789</v>
      </c>
      <c r="N143" s="860" t="s">
        <v>582</v>
      </c>
      <c r="O143" s="879" t="s">
        <v>120</v>
      </c>
      <c r="P143" s="837"/>
      <c r="Q143" s="838" t="s">
        <v>121</v>
      </c>
      <c r="R143" s="839"/>
      <c r="S143" s="840"/>
      <c r="T143" s="872"/>
      <c r="U143" s="873"/>
      <c r="V143" s="876">
        <f t="shared" si="111"/>
        <v>45789</v>
      </c>
      <c r="W143" s="841">
        <f t="shared" si="116"/>
        <v>45789</v>
      </c>
      <c r="X143" s="842">
        <f t="shared" si="112"/>
        <v>0</v>
      </c>
      <c r="Y143" s="843">
        <f t="shared" si="113"/>
        <v>0</v>
      </c>
      <c r="Z143" s="875" t="s">
        <v>447</v>
      </c>
      <c r="AA143" s="845" t="str">
        <f t="shared" si="117"/>
        <v>SHARE HOLDER</v>
      </c>
      <c r="AB143" s="846" t="str">
        <f t="shared" si="114"/>
        <v>COMPLETED</v>
      </c>
      <c r="AC143" s="847"/>
      <c r="AD143" s="848"/>
      <c r="AE143" s="849">
        <f t="shared" si="108"/>
        <v>0</v>
      </c>
      <c r="AF143" s="833"/>
      <c r="AG143" s="850">
        <f t="shared" si="106"/>
        <v>0</v>
      </c>
      <c r="AH143" s="851">
        <f t="shared" si="107"/>
        <v>0</v>
      </c>
      <c r="AI143" s="833" t="s">
        <v>23</v>
      </c>
    </row>
    <row r="144" spans="1:35" s="852" customFormat="1" ht="56" hidden="1" customHeight="1" x14ac:dyDescent="0.25">
      <c r="A144" s="918"/>
      <c r="B144" s="919"/>
      <c r="C144" s="825" t="str">
        <f t="shared" si="115"/>
        <v>26/1/</v>
      </c>
      <c r="D144" s="826" t="s">
        <v>288</v>
      </c>
      <c r="E144" s="828" t="s">
        <v>446</v>
      </c>
      <c r="F144" s="828" t="s">
        <v>144</v>
      </c>
      <c r="G144" s="829" t="s">
        <v>39</v>
      </c>
      <c r="H144" s="830"/>
      <c r="I144" s="882"/>
      <c r="J144" s="865"/>
      <c r="K144" s="853"/>
      <c r="L144" s="867"/>
      <c r="M144" s="835">
        <f t="shared" si="102"/>
        <v>0</v>
      </c>
      <c r="N144" s="880" t="s">
        <v>40</v>
      </c>
      <c r="O144" s="837" t="s">
        <v>585</v>
      </c>
      <c r="P144" s="837" t="s">
        <v>60</v>
      </c>
      <c r="Q144" s="838" t="s">
        <v>115</v>
      </c>
      <c r="R144" s="857"/>
      <c r="S144" s="840"/>
      <c r="T144" s="872"/>
      <c r="U144" s="873"/>
      <c r="V144" s="876">
        <v>45786</v>
      </c>
      <c r="W144" s="841">
        <f t="shared" si="116"/>
        <v>45786</v>
      </c>
      <c r="X144" s="842">
        <f t="shared" si="112"/>
        <v>0</v>
      </c>
      <c r="Y144" s="843">
        <f t="shared" si="113"/>
        <v>0</v>
      </c>
      <c r="Z144" s="875" t="s">
        <v>447</v>
      </c>
      <c r="AA144" s="845" t="str">
        <f t="shared" si="117"/>
        <v>RABONA</v>
      </c>
      <c r="AB144" s="846" t="str">
        <f t="shared" si="114"/>
        <v>COMPLETED</v>
      </c>
      <c r="AC144" s="847"/>
      <c r="AD144" s="883"/>
      <c r="AE144" s="849">
        <f t="shared" si="108"/>
        <v>0</v>
      </c>
      <c r="AF144" s="833"/>
      <c r="AG144" s="850">
        <f t="shared" si="106"/>
        <v>0</v>
      </c>
      <c r="AH144" s="851">
        <f t="shared" si="107"/>
        <v>0</v>
      </c>
      <c r="AI144" s="833"/>
    </row>
    <row r="145" spans="1:35" s="852" customFormat="1" ht="56" hidden="1" customHeight="1" x14ac:dyDescent="0.25">
      <c r="A145" s="918"/>
      <c r="B145" s="919"/>
      <c r="C145" s="825" t="str">
        <f t="shared" si="115"/>
        <v>26/1/</v>
      </c>
      <c r="D145" s="826" t="s">
        <v>289</v>
      </c>
      <c r="E145" s="828" t="s">
        <v>446</v>
      </c>
      <c r="F145" s="828" t="s">
        <v>144</v>
      </c>
      <c r="G145" s="829" t="s">
        <v>39</v>
      </c>
      <c r="H145" s="830"/>
      <c r="I145" s="882"/>
      <c r="J145" s="865"/>
      <c r="K145" s="884"/>
      <c r="L145" s="834"/>
      <c r="M145" s="835">
        <f t="shared" si="102"/>
        <v>0</v>
      </c>
      <c r="N145" s="860" t="s">
        <v>40</v>
      </c>
      <c r="O145" s="837" t="s">
        <v>579</v>
      </c>
      <c r="P145" s="837" t="s">
        <v>60</v>
      </c>
      <c r="Q145" s="838" t="s">
        <v>115</v>
      </c>
      <c r="R145" s="856"/>
      <c r="S145" s="840"/>
      <c r="T145" s="872"/>
      <c r="U145" s="873"/>
      <c r="V145" s="876">
        <v>45782</v>
      </c>
      <c r="W145" s="841">
        <f t="shared" si="116"/>
        <v>45782</v>
      </c>
      <c r="X145" s="842">
        <f t="shared" si="112"/>
        <v>0</v>
      </c>
      <c r="Y145" s="843">
        <f t="shared" si="113"/>
        <v>0</v>
      </c>
      <c r="Z145" s="875" t="s">
        <v>447</v>
      </c>
      <c r="AA145" s="845" t="str">
        <f t="shared" si="117"/>
        <v>RABONA</v>
      </c>
      <c r="AB145" s="846" t="str">
        <f t="shared" si="114"/>
        <v>COMPLETED</v>
      </c>
      <c r="AC145" s="869"/>
      <c r="AD145" s="883"/>
      <c r="AE145" s="849">
        <f t="shared" ref="AE145:AE176" si="119">IF(AA145=$AD$5,S145,0)</f>
        <v>0</v>
      </c>
      <c r="AF145" s="833"/>
      <c r="AG145" s="850">
        <f t="shared" ref="AG145:AG176" si="120">IF(Z145=$AG$5,X145,0)</f>
        <v>0</v>
      </c>
      <c r="AH145" s="851">
        <f t="shared" ref="AH145:AH176" si="121">IF(AA145=$AH$5,X145,0)</f>
        <v>0</v>
      </c>
      <c r="AI145" s="833"/>
    </row>
    <row r="146" spans="1:35" s="852" customFormat="1" ht="56" hidden="1" customHeight="1" x14ac:dyDescent="0.25">
      <c r="A146" s="918"/>
      <c r="B146" s="919"/>
      <c r="C146" s="825" t="str">
        <f t="shared" si="115"/>
        <v>26/1/</v>
      </c>
      <c r="D146" s="826" t="s">
        <v>290</v>
      </c>
      <c r="E146" s="828" t="s">
        <v>542</v>
      </c>
      <c r="F146" s="827" t="s">
        <v>144</v>
      </c>
      <c r="G146" s="885" t="s">
        <v>39</v>
      </c>
      <c r="H146" s="830"/>
      <c r="I146" s="886"/>
      <c r="J146" s="865"/>
      <c r="K146" s="887"/>
      <c r="L146" s="867"/>
      <c r="M146" s="835">
        <f t="shared" si="102"/>
        <v>0</v>
      </c>
      <c r="N146" s="860" t="s">
        <v>552</v>
      </c>
      <c r="O146" s="837" t="s">
        <v>586</v>
      </c>
      <c r="P146" s="995" t="s">
        <v>61</v>
      </c>
      <c r="Q146" s="838" t="s">
        <v>115</v>
      </c>
      <c r="R146" s="839"/>
      <c r="S146" s="840"/>
      <c r="T146" s="872"/>
      <c r="U146" s="873"/>
      <c r="V146" s="876">
        <v>45785</v>
      </c>
      <c r="W146" s="841">
        <f t="shared" si="116"/>
        <v>45785</v>
      </c>
      <c r="X146" s="842">
        <f t="shared" si="112"/>
        <v>0</v>
      </c>
      <c r="Y146" s="843">
        <f t="shared" si="113"/>
        <v>0</v>
      </c>
      <c r="Z146" s="875" t="s">
        <v>14</v>
      </c>
      <c r="AA146" s="845" t="str">
        <f t="shared" si="117"/>
        <v>RABONA</v>
      </c>
      <c r="AB146" s="846" t="str">
        <f t="shared" si="114"/>
        <v>COMPLETED</v>
      </c>
      <c r="AC146" s="847"/>
      <c r="AD146" s="888"/>
      <c r="AE146" s="849">
        <f t="shared" si="119"/>
        <v>0</v>
      </c>
      <c r="AF146" s="833"/>
      <c r="AG146" s="850">
        <f t="shared" si="120"/>
        <v>0</v>
      </c>
      <c r="AH146" s="851">
        <f t="shared" si="121"/>
        <v>0</v>
      </c>
      <c r="AI146" s="833" t="s">
        <v>104</v>
      </c>
    </row>
    <row r="147" spans="1:35" s="852" customFormat="1" ht="56" hidden="1" customHeight="1" x14ac:dyDescent="0.25">
      <c r="A147" s="918"/>
      <c r="B147" s="919"/>
      <c r="C147" s="825" t="str">
        <f t="shared" si="115"/>
        <v>26/1/</v>
      </c>
      <c r="D147" s="826" t="s">
        <v>291</v>
      </c>
      <c r="E147" s="828" t="s">
        <v>542</v>
      </c>
      <c r="F147" s="827" t="s">
        <v>144</v>
      </c>
      <c r="G147" s="885" t="s">
        <v>39</v>
      </c>
      <c r="H147" s="830"/>
      <c r="I147" s="832"/>
      <c r="J147" s="865"/>
      <c r="K147" s="889"/>
      <c r="L147" s="858"/>
      <c r="M147" s="859">
        <f t="shared" si="102"/>
        <v>0</v>
      </c>
      <c r="N147" s="836" t="s">
        <v>587</v>
      </c>
      <c r="O147" s="837" t="s">
        <v>588</v>
      </c>
      <c r="P147" s="995" t="s">
        <v>61</v>
      </c>
      <c r="Q147" s="838" t="s">
        <v>115</v>
      </c>
      <c r="R147" s="839"/>
      <c r="S147" s="840"/>
      <c r="T147" s="872"/>
      <c r="U147" s="873"/>
      <c r="V147" s="876">
        <v>45785</v>
      </c>
      <c r="W147" s="841">
        <f t="shared" si="116"/>
        <v>45785</v>
      </c>
      <c r="X147" s="842">
        <f t="shared" si="112"/>
        <v>0</v>
      </c>
      <c r="Y147" s="843">
        <f t="shared" si="113"/>
        <v>0</v>
      </c>
      <c r="Z147" s="844" t="s">
        <v>14</v>
      </c>
      <c r="AA147" s="845" t="str">
        <f t="shared" si="117"/>
        <v>RABONA</v>
      </c>
      <c r="AB147" s="846" t="str">
        <f t="shared" si="114"/>
        <v>COMPLETED</v>
      </c>
      <c r="AC147" s="847"/>
      <c r="AD147" s="848"/>
      <c r="AE147" s="849">
        <f t="shared" si="119"/>
        <v>0</v>
      </c>
      <c r="AF147" s="833"/>
      <c r="AG147" s="850">
        <f t="shared" si="120"/>
        <v>0</v>
      </c>
      <c r="AH147" s="851">
        <f t="shared" si="121"/>
        <v>0</v>
      </c>
      <c r="AI147" s="833" t="s">
        <v>104</v>
      </c>
    </row>
    <row r="148" spans="1:35" s="852" customFormat="1" ht="56" hidden="1" customHeight="1" x14ac:dyDescent="0.25">
      <c r="A148" s="918"/>
      <c r="B148" s="919"/>
      <c r="C148" s="825" t="str">
        <f t="shared" si="115"/>
        <v>26/1/</v>
      </c>
      <c r="D148" s="826" t="s">
        <v>292</v>
      </c>
      <c r="E148" s="828" t="s">
        <v>542</v>
      </c>
      <c r="F148" s="827" t="s">
        <v>144</v>
      </c>
      <c r="G148" s="885" t="s">
        <v>39</v>
      </c>
      <c r="H148" s="830"/>
      <c r="I148" s="832"/>
      <c r="J148" s="832"/>
      <c r="K148" s="889"/>
      <c r="L148" s="858"/>
      <c r="M148" s="859">
        <f t="shared" si="102"/>
        <v>0</v>
      </c>
      <c r="N148" s="836" t="s">
        <v>589</v>
      </c>
      <c r="O148" s="837" t="s">
        <v>577</v>
      </c>
      <c r="P148" s="837" t="s">
        <v>60</v>
      </c>
      <c r="Q148" s="838" t="s">
        <v>115</v>
      </c>
      <c r="R148" s="862"/>
      <c r="S148" s="843"/>
      <c r="T148" s="870"/>
      <c r="U148" s="871"/>
      <c r="V148" s="876">
        <v>45785</v>
      </c>
      <c r="W148" s="841">
        <f t="shared" si="116"/>
        <v>45785</v>
      </c>
      <c r="X148" s="842">
        <f t="shared" si="112"/>
        <v>0</v>
      </c>
      <c r="Y148" s="843">
        <f t="shared" si="113"/>
        <v>0</v>
      </c>
      <c r="Z148" s="875" t="s">
        <v>14</v>
      </c>
      <c r="AA148" s="845" t="str">
        <f t="shared" si="117"/>
        <v>RABONA</v>
      </c>
      <c r="AB148" s="846" t="str">
        <f t="shared" si="114"/>
        <v>COMPLETED</v>
      </c>
      <c r="AC148" s="847"/>
      <c r="AD148" s="848"/>
      <c r="AE148" s="849">
        <f t="shared" si="119"/>
        <v>0</v>
      </c>
      <c r="AF148" s="833"/>
      <c r="AG148" s="850">
        <f t="shared" si="120"/>
        <v>0</v>
      </c>
      <c r="AH148" s="851">
        <f t="shared" si="121"/>
        <v>0</v>
      </c>
      <c r="AI148" s="833" t="s">
        <v>104</v>
      </c>
    </row>
    <row r="149" spans="1:35" s="852" customFormat="1" ht="56" hidden="1" customHeight="1" x14ac:dyDescent="0.25">
      <c r="A149" s="918"/>
      <c r="B149" s="919"/>
      <c r="C149" s="825" t="str">
        <f t="shared" si="115"/>
        <v>26/1/</v>
      </c>
      <c r="D149" s="826" t="s">
        <v>293</v>
      </c>
      <c r="E149" s="828" t="s">
        <v>542</v>
      </c>
      <c r="F149" s="827" t="s">
        <v>144</v>
      </c>
      <c r="G149" s="885" t="s">
        <v>39</v>
      </c>
      <c r="H149" s="830"/>
      <c r="I149" s="832"/>
      <c r="J149" s="865"/>
      <c r="K149" s="866"/>
      <c r="L149" s="867">
        <v>45790</v>
      </c>
      <c r="M149" s="859">
        <f t="shared" si="102"/>
        <v>45790</v>
      </c>
      <c r="N149" s="836" t="s">
        <v>590</v>
      </c>
      <c r="O149" s="837" t="s">
        <v>591</v>
      </c>
      <c r="P149" s="890" t="s">
        <v>80</v>
      </c>
      <c r="Q149" s="891" t="s">
        <v>77</v>
      </c>
      <c r="R149" s="839"/>
      <c r="S149" s="840"/>
      <c r="T149" s="872"/>
      <c r="U149" s="873"/>
      <c r="V149" s="876">
        <f>L149</f>
        <v>45790</v>
      </c>
      <c r="W149" s="841">
        <f t="shared" si="116"/>
        <v>45790</v>
      </c>
      <c r="X149" s="842">
        <f t="shared" si="112"/>
        <v>0</v>
      </c>
      <c r="Y149" s="843">
        <f t="shared" si="113"/>
        <v>0</v>
      </c>
      <c r="Z149" s="844" t="s">
        <v>14</v>
      </c>
      <c r="AA149" s="845" t="str">
        <f t="shared" si="117"/>
        <v>RABONA</v>
      </c>
      <c r="AB149" s="846" t="str">
        <f t="shared" si="114"/>
        <v>COMPLETED</v>
      </c>
      <c r="AC149" s="847"/>
      <c r="AD149" s="848"/>
      <c r="AE149" s="849">
        <f t="shared" si="119"/>
        <v>0</v>
      </c>
      <c r="AF149" s="833"/>
      <c r="AG149" s="850">
        <f t="shared" si="120"/>
        <v>0</v>
      </c>
      <c r="AH149" s="851">
        <f t="shared" si="121"/>
        <v>0</v>
      </c>
      <c r="AI149" s="833" t="s">
        <v>104</v>
      </c>
    </row>
    <row r="150" spans="1:35" s="852" customFormat="1" ht="56" hidden="1" customHeight="1" x14ac:dyDescent="0.25">
      <c r="A150" s="918"/>
      <c r="B150" s="919"/>
      <c r="C150" s="825" t="str">
        <f t="shared" si="115"/>
        <v>26/1/</v>
      </c>
      <c r="D150" s="826" t="s">
        <v>294</v>
      </c>
      <c r="E150" s="828" t="s">
        <v>542</v>
      </c>
      <c r="F150" s="827" t="s">
        <v>144</v>
      </c>
      <c r="G150" s="885" t="s">
        <v>39</v>
      </c>
      <c r="H150" s="830"/>
      <c r="I150" s="832"/>
      <c r="J150" s="832"/>
      <c r="K150" s="874"/>
      <c r="L150" s="834"/>
      <c r="M150" s="859">
        <f t="shared" si="102"/>
        <v>0</v>
      </c>
      <c r="N150" s="797" t="s">
        <v>601</v>
      </c>
      <c r="O150" s="630" t="s">
        <v>608</v>
      </c>
      <c r="P150" s="995" t="s">
        <v>61</v>
      </c>
      <c r="Q150" s="631" t="s">
        <v>115</v>
      </c>
      <c r="R150" s="862"/>
      <c r="S150" s="843"/>
      <c r="T150" s="870"/>
      <c r="U150" s="871"/>
      <c r="V150" s="876">
        <f t="shared" ref="V150:V178" si="122">L150</f>
        <v>0</v>
      </c>
      <c r="W150" s="841">
        <f t="shared" si="116"/>
        <v>0</v>
      </c>
      <c r="X150" s="842">
        <f t="shared" si="112"/>
        <v>0</v>
      </c>
      <c r="Y150" s="843">
        <f t="shared" si="113"/>
        <v>0</v>
      </c>
      <c r="Z150" s="875" t="s">
        <v>14</v>
      </c>
      <c r="AA150" s="845" t="str">
        <f t="shared" si="117"/>
        <v>RABONA</v>
      </c>
      <c r="AB150" s="846" t="str">
        <f t="shared" si="114"/>
        <v>COMPLETED</v>
      </c>
      <c r="AC150" s="847"/>
      <c r="AD150" s="848"/>
      <c r="AE150" s="849">
        <f t="shared" si="119"/>
        <v>0</v>
      </c>
      <c r="AF150" s="833"/>
      <c r="AG150" s="850">
        <f t="shared" si="120"/>
        <v>0</v>
      </c>
      <c r="AH150" s="851">
        <f t="shared" si="121"/>
        <v>0</v>
      </c>
      <c r="AI150" s="833" t="s">
        <v>104</v>
      </c>
    </row>
    <row r="151" spans="1:35" s="852" customFormat="1" ht="56" hidden="1" customHeight="1" x14ac:dyDescent="0.25">
      <c r="A151" s="918"/>
      <c r="B151" s="919"/>
      <c r="C151" s="825" t="str">
        <f t="shared" si="115"/>
        <v>26/1/</v>
      </c>
      <c r="D151" s="826" t="s">
        <v>295</v>
      </c>
      <c r="E151" s="828" t="s">
        <v>542</v>
      </c>
      <c r="F151" s="827" t="s">
        <v>144</v>
      </c>
      <c r="G151" s="885" t="s">
        <v>39</v>
      </c>
      <c r="H151" s="830"/>
      <c r="I151" s="832"/>
      <c r="J151" s="832"/>
      <c r="K151" s="874"/>
      <c r="L151" s="834"/>
      <c r="M151" s="859">
        <f t="shared" si="102"/>
        <v>0</v>
      </c>
      <c r="N151" s="860" t="s">
        <v>592</v>
      </c>
      <c r="O151" s="837" t="s">
        <v>594</v>
      </c>
      <c r="P151" s="837" t="s">
        <v>60</v>
      </c>
      <c r="Q151" s="838" t="s">
        <v>115</v>
      </c>
      <c r="R151" s="862"/>
      <c r="S151" s="843"/>
      <c r="T151" s="870"/>
      <c r="U151" s="871"/>
      <c r="V151" s="876">
        <f t="shared" si="122"/>
        <v>0</v>
      </c>
      <c r="W151" s="841">
        <f t="shared" si="116"/>
        <v>0</v>
      </c>
      <c r="X151" s="842">
        <f t="shared" si="112"/>
        <v>0</v>
      </c>
      <c r="Y151" s="843">
        <f t="shared" si="113"/>
        <v>0</v>
      </c>
      <c r="Z151" s="875" t="s">
        <v>14</v>
      </c>
      <c r="AA151" s="845" t="str">
        <f t="shared" si="117"/>
        <v>RABONA</v>
      </c>
      <c r="AB151" s="846" t="str">
        <f t="shared" si="114"/>
        <v>COMPLETED</v>
      </c>
      <c r="AC151" s="847"/>
      <c r="AD151" s="848"/>
      <c r="AE151" s="849">
        <f t="shared" si="119"/>
        <v>0</v>
      </c>
      <c r="AF151" s="833"/>
      <c r="AG151" s="850">
        <f t="shared" si="120"/>
        <v>0</v>
      </c>
      <c r="AH151" s="851">
        <f t="shared" si="121"/>
        <v>0</v>
      </c>
      <c r="AI151" s="833" t="s">
        <v>104</v>
      </c>
    </row>
    <row r="152" spans="1:35" s="852" customFormat="1" ht="56" hidden="1" customHeight="1" x14ac:dyDescent="0.25">
      <c r="A152" s="918"/>
      <c r="B152" s="919"/>
      <c r="C152" s="825" t="str">
        <f t="shared" si="115"/>
        <v>26/1/</v>
      </c>
      <c r="D152" s="826" t="s">
        <v>296</v>
      </c>
      <c r="E152" s="828" t="s">
        <v>542</v>
      </c>
      <c r="F152" s="827" t="s">
        <v>144</v>
      </c>
      <c r="G152" s="885" t="s">
        <v>39</v>
      </c>
      <c r="H152" s="830"/>
      <c r="I152" s="832"/>
      <c r="J152" s="832"/>
      <c r="K152" s="874"/>
      <c r="L152" s="834"/>
      <c r="M152" s="859">
        <f t="shared" si="102"/>
        <v>0</v>
      </c>
      <c r="N152" s="860" t="s">
        <v>592</v>
      </c>
      <c r="O152" s="837" t="s">
        <v>594</v>
      </c>
      <c r="P152" s="837" t="s">
        <v>60</v>
      </c>
      <c r="Q152" s="838" t="s">
        <v>115</v>
      </c>
      <c r="R152" s="862"/>
      <c r="S152" s="843"/>
      <c r="T152" s="870"/>
      <c r="U152" s="871"/>
      <c r="V152" s="876">
        <f t="shared" si="122"/>
        <v>0</v>
      </c>
      <c r="W152" s="841">
        <f t="shared" si="116"/>
        <v>0</v>
      </c>
      <c r="X152" s="842">
        <f t="shared" si="112"/>
        <v>0</v>
      </c>
      <c r="Y152" s="843">
        <f t="shared" si="113"/>
        <v>0</v>
      </c>
      <c r="Z152" s="875" t="s">
        <v>14</v>
      </c>
      <c r="AA152" s="845" t="str">
        <f t="shared" si="117"/>
        <v>RABONA</v>
      </c>
      <c r="AB152" s="846" t="str">
        <f t="shared" si="114"/>
        <v>COMPLETED</v>
      </c>
      <c r="AC152" s="854"/>
      <c r="AD152" s="848"/>
      <c r="AE152" s="849">
        <f t="shared" si="119"/>
        <v>0</v>
      </c>
      <c r="AF152" s="861"/>
      <c r="AG152" s="850">
        <f t="shared" si="120"/>
        <v>0</v>
      </c>
      <c r="AH152" s="851">
        <f t="shared" si="121"/>
        <v>0</v>
      </c>
      <c r="AI152" s="833" t="s">
        <v>104</v>
      </c>
    </row>
    <row r="153" spans="1:35" s="852" customFormat="1" ht="56" hidden="1" customHeight="1" x14ac:dyDescent="0.25">
      <c r="A153" s="918"/>
      <c r="B153" s="919"/>
      <c r="C153" s="825" t="str">
        <f t="shared" si="115"/>
        <v>26/1/</v>
      </c>
      <c r="D153" s="826" t="s">
        <v>297</v>
      </c>
      <c r="E153" s="828" t="s">
        <v>542</v>
      </c>
      <c r="F153" s="827" t="s">
        <v>144</v>
      </c>
      <c r="G153" s="885" t="s">
        <v>39</v>
      </c>
      <c r="H153" s="830"/>
      <c r="I153" s="832"/>
      <c r="J153" s="832"/>
      <c r="K153" s="833"/>
      <c r="L153" s="834"/>
      <c r="M153" s="859">
        <f t="shared" si="102"/>
        <v>0</v>
      </c>
      <c r="N153" s="860" t="s">
        <v>592</v>
      </c>
      <c r="O153" s="837" t="s">
        <v>594</v>
      </c>
      <c r="P153" s="837" t="s">
        <v>60</v>
      </c>
      <c r="Q153" s="838" t="s">
        <v>115</v>
      </c>
      <c r="R153" s="862"/>
      <c r="S153" s="843"/>
      <c r="T153" s="870"/>
      <c r="U153" s="871"/>
      <c r="V153" s="876">
        <f t="shared" si="122"/>
        <v>0</v>
      </c>
      <c r="W153" s="841">
        <f t="shared" si="116"/>
        <v>0</v>
      </c>
      <c r="X153" s="842">
        <f t="shared" si="112"/>
        <v>0</v>
      </c>
      <c r="Y153" s="843">
        <f t="shared" si="113"/>
        <v>0</v>
      </c>
      <c r="Z153" s="875" t="s">
        <v>14</v>
      </c>
      <c r="AA153" s="845" t="str">
        <f t="shared" si="117"/>
        <v>RABONA</v>
      </c>
      <c r="AB153" s="846" t="str">
        <f t="shared" si="114"/>
        <v>COMPLETED</v>
      </c>
      <c r="AC153" s="847"/>
      <c r="AD153" s="848"/>
      <c r="AE153" s="849">
        <f t="shared" si="119"/>
        <v>0</v>
      </c>
      <c r="AF153" s="861"/>
      <c r="AG153" s="850">
        <f t="shared" si="120"/>
        <v>0</v>
      </c>
      <c r="AH153" s="851">
        <f t="shared" si="121"/>
        <v>0</v>
      </c>
      <c r="AI153" s="833" t="s">
        <v>104</v>
      </c>
    </row>
    <row r="154" spans="1:35" s="852" customFormat="1" ht="56" hidden="1" customHeight="1" x14ac:dyDescent="0.25">
      <c r="A154" s="918"/>
      <c r="B154" s="919"/>
      <c r="C154" s="825" t="str">
        <f t="shared" si="115"/>
        <v>26/1/</v>
      </c>
      <c r="D154" s="826" t="s">
        <v>298</v>
      </c>
      <c r="E154" s="828" t="s">
        <v>542</v>
      </c>
      <c r="F154" s="827" t="s">
        <v>144</v>
      </c>
      <c r="G154" s="885" t="s">
        <v>39</v>
      </c>
      <c r="H154" s="830"/>
      <c r="I154" s="832"/>
      <c r="J154" s="832"/>
      <c r="K154" s="874"/>
      <c r="L154" s="834"/>
      <c r="M154" s="859">
        <f t="shared" si="102"/>
        <v>0</v>
      </c>
      <c r="N154" s="860" t="s">
        <v>593</v>
      </c>
      <c r="O154" s="890" t="s">
        <v>62</v>
      </c>
      <c r="P154" s="890" t="s">
        <v>62</v>
      </c>
      <c r="Q154" s="891" t="s">
        <v>115</v>
      </c>
      <c r="R154" s="862"/>
      <c r="S154" s="843"/>
      <c r="T154" s="870"/>
      <c r="U154" s="871"/>
      <c r="V154" s="876">
        <f t="shared" si="122"/>
        <v>0</v>
      </c>
      <c r="W154" s="841">
        <f t="shared" si="116"/>
        <v>0</v>
      </c>
      <c r="X154" s="842">
        <f t="shared" si="112"/>
        <v>0</v>
      </c>
      <c r="Y154" s="843">
        <f t="shared" si="113"/>
        <v>0</v>
      </c>
      <c r="Z154" s="875" t="s">
        <v>14</v>
      </c>
      <c r="AA154" s="845" t="str">
        <f t="shared" si="117"/>
        <v>RABONA</v>
      </c>
      <c r="AB154" s="846" t="str">
        <f t="shared" si="114"/>
        <v>COMPLETED</v>
      </c>
      <c r="AC154" s="847"/>
      <c r="AD154" s="848"/>
      <c r="AE154" s="849">
        <f t="shared" si="119"/>
        <v>0</v>
      </c>
      <c r="AF154" s="833"/>
      <c r="AG154" s="850">
        <f t="shared" si="120"/>
        <v>0</v>
      </c>
      <c r="AH154" s="851">
        <f t="shared" si="121"/>
        <v>0</v>
      </c>
      <c r="AI154" s="833" t="s">
        <v>104</v>
      </c>
    </row>
    <row r="155" spans="1:35" s="852" customFormat="1" ht="56" hidden="1" customHeight="1" x14ac:dyDescent="0.25">
      <c r="A155" s="918"/>
      <c r="B155" s="919"/>
      <c r="C155" s="825" t="str">
        <f t="shared" si="115"/>
        <v>26/1/</v>
      </c>
      <c r="D155" s="826" t="s">
        <v>299</v>
      </c>
      <c r="E155" s="828" t="s">
        <v>542</v>
      </c>
      <c r="F155" s="827" t="s">
        <v>144</v>
      </c>
      <c r="G155" s="885" t="s">
        <v>39</v>
      </c>
      <c r="H155" s="830"/>
      <c r="I155" s="832"/>
      <c r="J155" s="832"/>
      <c r="K155" s="874"/>
      <c r="L155" s="834"/>
      <c r="M155" s="859">
        <f t="shared" si="102"/>
        <v>0</v>
      </c>
      <c r="N155" s="860" t="s">
        <v>550</v>
      </c>
      <c r="O155" s="890" t="s">
        <v>62</v>
      </c>
      <c r="P155" s="890" t="s">
        <v>62</v>
      </c>
      <c r="Q155" s="891" t="s">
        <v>115</v>
      </c>
      <c r="R155" s="893"/>
      <c r="S155" s="843"/>
      <c r="T155" s="870"/>
      <c r="U155" s="871"/>
      <c r="V155" s="876">
        <f t="shared" si="122"/>
        <v>0</v>
      </c>
      <c r="W155" s="841">
        <f t="shared" si="116"/>
        <v>0</v>
      </c>
      <c r="X155" s="842">
        <f t="shared" si="112"/>
        <v>0</v>
      </c>
      <c r="Y155" s="843">
        <f t="shared" si="113"/>
        <v>0</v>
      </c>
      <c r="Z155" s="875" t="s">
        <v>14</v>
      </c>
      <c r="AA155" s="845" t="str">
        <f t="shared" si="117"/>
        <v>RABONA</v>
      </c>
      <c r="AB155" s="846" t="str">
        <f t="shared" si="114"/>
        <v>COMPLETED</v>
      </c>
      <c r="AC155" s="847"/>
      <c r="AD155" s="848"/>
      <c r="AE155" s="849">
        <f t="shared" si="119"/>
        <v>0</v>
      </c>
      <c r="AF155" s="833"/>
      <c r="AG155" s="850">
        <f t="shared" si="120"/>
        <v>0</v>
      </c>
      <c r="AH155" s="851">
        <f t="shared" si="121"/>
        <v>0</v>
      </c>
      <c r="AI155" s="833" t="s">
        <v>104</v>
      </c>
    </row>
    <row r="156" spans="1:35" s="852" customFormat="1" ht="56" hidden="1" customHeight="1" x14ac:dyDescent="0.25">
      <c r="A156" s="918"/>
      <c r="B156" s="919"/>
      <c r="C156" s="825" t="str">
        <f t="shared" si="115"/>
        <v>26/1/</v>
      </c>
      <c r="D156" s="826" t="s">
        <v>300</v>
      </c>
      <c r="E156" s="828" t="s">
        <v>542</v>
      </c>
      <c r="F156" s="827" t="s">
        <v>144</v>
      </c>
      <c r="G156" s="885" t="s">
        <v>39</v>
      </c>
      <c r="H156" s="830"/>
      <c r="I156" s="832"/>
      <c r="J156" s="832"/>
      <c r="K156" s="833"/>
      <c r="L156" s="834">
        <v>45780</v>
      </c>
      <c r="M156" s="859">
        <f t="shared" si="102"/>
        <v>45780</v>
      </c>
      <c r="N156" s="860" t="s">
        <v>451</v>
      </c>
      <c r="O156" s="837" t="s">
        <v>93</v>
      </c>
      <c r="P156" s="837" t="s">
        <v>93</v>
      </c>
      <c r="Q156" s="838" t="s">
        <v>90</v>
      </c>
      <c r="R156" s="862"/>
      <c r="S156" s="843"/>
      <c r="T156" s="870"/>
      <c r="U156" s="871"/>
      <c r="V156" s="876">
        <f t="shared" si="122"/>
        <v>45780</v>
      </c>
      <c r="W156" s="841">
        <f t="shared" si="116"/>
        <v>45780</v>
      </c>
      <c r="X156" s="842">
        <f t="shared" si="112"/>
        <v>0</v>
      </c>
      <c r="Y156" s="843">
        <f t="shared" si="113"/>
        <v>0</v>
      </c>
      <c r="Z156" s="875" t="s">
        <v>14</v>
      </c>
      <c r="AA156" s="845" t="str">
        <f t="shared" si="117"/>
        <v>RABONA</v>
      </c>
      <c r="AB156" s="846" t="str">
        <f t="shared" si="114"/>
        <v>COMPLETED</v>
      </c>
      <c r="AC156" s="847"/>
      <c r="AD156" s="848"/>
      <c r="AE156" s="849">
        <f t="shared" si="119"/>
        <v>0</v>
      </c>
      <c r="AF156" s="833"/>
      <c r="AG156" s="850">
        <f t="shared" si="120"/>
        <v>0</v>
      </c>
      <c r="AH156" s="851">
        <f t="shared" si="121"/>
        <v>0</v>
      </c>
      <c r="AI156" s="833" t="s">
        <v>104</v>
      </c>
    </row>
    <row r="157" spans="1:35" s="852" customFormat="1" ht="56" hidden="1" customHeight="1" x14ac:dyDescent="0.25">
      <c r="A157" s="918"/>
      <c r="B157" s="919"/>
      <c r="C157" s="825" t="str">
        <f t="shared" si="115"/>
        <v>26/1/</v>
      </c>
      <c r="D157" s="826" t="s">
        <v>301</v>
      </c>
      <c r="E157" s="828"/>
      <c r="F157" s="827"/>
      <c r="G157" s="885"/>
      <c r="H157" s="830"/>
      <c r="I157" s="832"/>
      <c r="J157" s="832"/>
      <c r="K157" s="874"/>
      <c r="L157" s="834"/>
      <c r="M157" s="859">
        <f t="shared" si="102"/>
        <v>0</v>
      </c>
      <c r="N157" s="836" t="s">
        <v>551</v>
      </c>
      <c r="O157" s="837" t="s">
        <v>134</v>
      </c>
      <c r="P157" s="837" t="s">
        <v>60</v>
      </c>
      <c r="Q157" s="838" t="s">
        <v>115</v>
      </c>
      <c r="R157" s="862"/>
      <c r="S157" s="843"/>
      <c r="T157" s="870"/>
      <c r="U157" s="871"/>
      <c r="V157" s="876">
        <f t="shared" si="122"/>
        <v>0</v>
      </c>
      <c r="W157" s="841">
        <f t="shared" si="116"/>
        <v>0</v>
      </c>
      <c r="X157" s="842">
        <f t="shared" si="112"/>
        <v>0</v>
      </c>
      <c r="Y157" s="843">
        <f t="shared" si="113"/>
        <v>0</v>
      </c>
      <c r="Z157" s="875" t="s">
        <v>14</v>
      </c>
      <c r="AA157" s="845">
        <f t="shared" si="117"/>
        <v>0</v>
      </c>
      <c r="AB157" s="846" t="str">
        <f t="shared" si="114"/>
        <v>COMPLETED</v>
      </c>
      <c r="AC157" s="869"/>
      <c r="AD157" s="848"/>
      <c r="AE157" s="849">
        <f t="shared" si="119"/>
        <v>0</v>
      </c>
      <c r="AF157" s="833"/>
      <c r="AG157" s="850">
        <f t="shared" si="120"/>
        <v>0</v>
      </c>
      <c r="AH157" s="851">
        <f t="shared" si="121"/>
        <v>0</v>
      </c>
      <c r="AI157" s="833" t="s">
        <v>104</v>
      </c>
    </row>
    <row r="158" spans="1:35" s="852" customFormat="1" ht="56" hidden="1" customHeight="1" x14ac:dyDescent="0.25">
      <c r="A158" s="918"/>
      <c r="B158" s="919"/>
      <c r="C158" s="825" t="str">
        <f t="shared" si="115"/>
        <v>26/1/</v>
      </c>
      <c r="D158" s="826" t="s">
        <v>302</v>
      </c>
      <c r="E158" s="828"/>
      <c r="F158" s="827"/>
      <c r="G158" s="885"/>
      <c r="H158" s="830"/>
      <c r="I158" s="832"/>
      <c r="J158" s="832"/>
      <c r="K158" s="833"/>
      <c r="L158" s="834"/>
      <c r="M158" s="835">
        <f t="shared" si="102"/>
        <v>0</v>
      </c>
      <c r="N158" s="894" t="s">
        <v>551</v>
      </c>
      <c r="O158" s="837" t="s">
        <v>134</v>
      </c>
      <c r="P158" s="837" t="s">
        <v>60</v>
      </c>
      <c r="Q158" s="838" t="s">
        <v>115</v>
      </c>
      <c r="R158" s="862"/>
      <c r="S158" s="843"/>
      <c r="T158" s="870"/>
      <c r="U158" s="871"/>
      <c r="V158" s="876">
        <f t="shared" si="122"/>
        <v>0</v>
      </c>
      <c r="W158" s="841">
        <f t="shared" si="116"/>
        <v>0</v>
      </c>
      <c r="X158" s="842">
        <f t="shared" si="112"/>
        <v>0</v>
      </c>
      <c r="Y158" s="843">
        <f t="shared" si="113"/>
        <v>0</v>
      </c>
      <c r="Z158" s="875" t="s">
        <v>14</v>
      </c>
      <c r="AA158" s="845">
        <f t="shared" si="117"/>
        <v>0</v>
      </c>
      <c r="AB158" s="846" t="str">
        <f t="shared" si="114"/>
        <v>COMPLETED</v>
      </c>
      <c r="AC158" s="847"/>
      <c r="AD158" s="848"/>
      <c r="AE158" s="849">
        <f t="shared" si="119"/>
        <v>0</v>
      </c>
      <c r="AF158" s="833"/>
      <c r="AG158" s="850">
        <f t="shared" si="120"/>
        <v>0</v>
      </c>
      <c r="AH158" s="851">
        <f t="shared" si="121"/>
        <v>0</v>
      </c>
      <c r="AI158" s="833" t="s">
        <v>104</v>
      </c>
    </row>
    <row r="159" spans="1:35" s="852" customFormat="1" ht="56" hidden="1" customHeight="1" x14ac:dyDescent="0.25">
      <c r="A159" s="918"/>
      <c r="B159" s="919"/>
      <c r="C159" s="825" t="str">
        <f t="shared" si="115"/>
        <v>26/1/</v>
      </c>
      <c r="D159" s="826" t="s">
        <v>303</v>
      </c>
      <c r="E159" s="828" t="s">
        <v>542</v>
      </c>
      <c r="F159" s="827" t="s">
        <v>144</v>
      </c>
      <c r="G159" s="885" t="s">
        <v>18</v>
      </c>
      <c r="H159" s="830"/>
      <c r="I159" s="832"/>
      <c r="J159" s="832"/>
      <c r="K159" s="874"/>
      <c r="L159" s="834">
        <v>45804</v>
      </c>
      <c r="M159" s="835">
        <f t="shared" si="102"/>
        <v>45804</v>
      </c>
      <c r="N159" s="797" t="s">
        <v>130</v>
      </c>
      <c r="O159" s="630" t="s">
        <v>629</v>
      </c>
      <c r="P159" s="630" t="s">
        <v>82</v>
      </c>
      <c r="Q159" s="631" t="s">
        <v>77</v>
      </c>
      <c r="R159" s="862"/>
      <c r="S159" s="843"/>
      <c r="T159" s="870"/>
      <c r="U159" s="871"/>
      <c r="V159" s="876">
        <f t="shared" si="122"/>
        <v>45804</v>
      </c>
      <c r="W159" s="841">
        <f t="shared" si="116"/>
        <v>45804</v>
      </c>
      <c r="X159" s="842">
        <f t="shared" si="112"/>
        <v>0</v>
      </c>
      <c r="Y159" s="843">
        <f t="shared" si="113"/>
        <v>0</v>
      </c>
      <c r="Z159" s="875" t="s">
        <v>14</v>
      </c>
      <c r="AA159" s="845" t="str">
        <f t="shared" si="117"/>
        <v>REIMBURSE</v>
      </c>
      <c r="AB159" s="846" t="str">
        <f t="shared" si="114"/>
        <v>COMPLETED</v>
      </c>
      <c r="AC159" s="847"/>
      <c r="AD159" s="848"/>
      <c r="AE159" s="849">
        <f t="shared" si="119"/>
        <v>0</v>
      </c>
      <c r="AF159" s="833"/>
      <c r="AG159" s="850">
        <f t="shared" si="120"/>
        <v>0</v>
      </c>
      <c r="AH159" s="851">
        <f t="shared" si="121"/>
        <v>0</v>
      </c>
      <c r="AI159" s="833" t="s">
        <v>104</v>
      </c>
    </row>
    <row r="160" spans="1:35" s="852" customFormat="1" ht="56" hidden="1" customHeight="1" x14ac:dyDescent="0.25">
      <c r="A160" s="918"/>
      <c r="B160" s="919"/>
      <c r="C160" s="825" t="str">
        <f t="shared" si="115"/>
        <v>26/1/</v>
      </c>
      <c r="D160" s="826" t="s">
        <v>304</v>
      </c>
      <c r="E160" s="828" t="s">
        <v>542</v>
      </c>
      <c r="F160" s="827" t="s">
        <v>144</v>
      </c>
      <c r="G160" s="885" t="s">
        <v>39</v>
      </c>
      <c r="H160" s="830"/>
      <c r="I160" s="832"/>
      <c r="J160" s="832"/>
      <c r="K160" s="833"/>
      <c r="L160" s="834">
        <v>45792</v>
      </c>
      <c r="M160" s="835">
        <f t="shared" si="102"/>
        <v>45792</v>
      </c>
      <c r="N160" s="860" t="s">
        <v>595</v>
      </c>
      <c r="O160" s="837" t="s">
        <v>137</v>
      </c>
      <c r="P160" s="837" t="s">
        <v>85</v>
      </c>
      <c r="Q160" s="838" t="s">
        <v>77</v>
      </c>
      <c r="R160" s="862"/>
      <c r="S160" s="843"/>
      <c r="T160" s="870"/>
      <c r="U160" s="871"/>
      <c r="V160" s="876">
        <f t="shared" si="122"/>
        <v>45792</v>
      </c>
      <c r="W160" s="841">
        <f t="shared" si="116"/>
        <v>45792</v>
      </c>
      <c r="X160" s="842">
        <f t="shared" si="112"/>
        <v>0</v>
      </c>
      <c r="Y160" s="843">
        <f t="shared" si="113"/>
        <v>0</v>
      </c>
      <c r="Z160" s="875" t="s">
        <v>14</v>
      </c>
      <c r="AA160" s="845" t="str">
        <f t="shared" si="117"/>
        <v>RABONA</v>
      </c>
      <c r="AB160" s="846" t="str">
        <f t="shared" si="114"/>
        <v>COMPLETED</v>
      </c>
      <c r="AC160" s="847"/>
      <c r="AD160" s="848"/>
      <c r="AE160" s="849">
        <f t="shared" si="119"/>
        <v>0</v>
      </c>
      <c r="AF160" s="833"/>
      <c r="AG160" s="850">
        <f t="shared" si="120"/>
        <v>0</v>
      </c>
      <c r="AH160" s="851">
        <f t="shared" si="121"/>
        <v>0</v>
      </c>
      <c r="AI160" s="833" t="s">
        <v>104</v>
      </c>
    </row>
    <row r="161" spans="1:35" s="852" customFormat="1" ht="56" hidden="1" customHeight="1" x14ac:dyDescent="0.25">
      <c r="A161" s="918"/>
      <c r="B161" s="919"/>
      <c r="C161" s="825" t="str">
        <f t="shared" si="115"/>
        <v>26/1/</v>
      </c>
      <c r="D161" s="826" t="s">
        <v>305</v>
      </c>
      <c r="E161" s="828" t="s">
        <v>542</v>
      </c>
      <c r="F161" s="827" t="s">
        <v>144</v>
      </c>
      <c r="G161" s="885" t="s">
        <v>39</v>
      </c>
      <c r="H161" s="830"/>
      <c r="I161" s="832"/>
      <c r="J161" s="832"/>
      <c r="K161" s="833"/>
      <c r="L161" s="834">
        <v>45801</v>
      </c>
      <c r="M161" s="835">
        <f t="shared" si="102"/>
        <v>45801</v>
      </c>
      <c r="N161" s="860" t="s">
        <v>596</v>
      </c>
      <c r="O161" s="837" t="s">
        <v>137</v>
      </c>
      <c r="P161" s="837" t="s">
        <v>85</v>
      </c>
      <c r="Q161" s="838" t="s">
        <v>77</v>
      </c>
      <c r="R161" s="862"/>
      <c r="S161" s="843"/>
      <c r="T161" s="870"/>
      <c r="U161" s="871"/>
      <c r="V161" s="876">
        <f t="shared" si="122"/>
        <v>45801</v>
      </c>
      <c r="W161" s="841">
        <f t="shared" si="116"/>
        <v>45801</v>
      </c>
      <c r="X161" s="842">
        <f t="shared" si="112"/>
        <v>0</v>
      </c>
      <c r="Y161" s="843">
        <f t="shared" si="113"/>
        <v>0</v>
      </c>
      <c r="Z161" s="875" t="s">
        <v>14</v>
      </c>
      <c r="AA161" s="845" t="str">
        <f t="shared" si="117"/>
        <v>RABONA</v>
      </c>
      <c r="AB161" s="846" t="str">
        <f t="shared" si="114"/>
        <v>COMPLETED</v>
      </c>
      <c r="AC161" s="847"/>
      <c r="AD161" s="848"/>
      <c r="AE161" s="849">
        <f t="shared" si="119"/>
        <v>0</v>
      </c>
      <c r="AF161" s="833"/>
      <c r="AG161" s="850">
        <f t="shared" si="120"/>
        <v>0</v>
      </c>
      <c r="AH161" s="851">
        <f t="shared" si="121"/>
        <v>0</v>
      </c>
      <c r="AI161" s="833" t="s">
        <v>104</v>
      </c>
    </row>
    <row r="162" spans="1:35" s="852" customFormat="1" ht="56" hidden="1" customHeight="1" x14ac:dyDescent="0.25">
      <c r="A162" s="918"/>
      <c r="B162" s="919"/>
      <c r="C162" s="825" t="str">
        <f t="shared" si="115"/>
        <v>26/1/</v>
      </c>
      <c r="D162" s="826" t="s">
        <v>306</v>
      </c>
      <c r="E162" s="828" t="s">
        <v>542</v>
      </c>
      <c r="F162" s="827" t="s">
        <v>144</v>
      </c>
      <c r="G162" s="885" t="s">
        <v>39</v>
      </c>
      <c r="H162" s="830"/>
      <c r="I162" s="832"/>
      <c r="J162" s="832"/>
      <c r="K162" s="833"/>
      <c r="L162" s="834">
        <v>45800</v>
      </c>
      <c r="M162" s="835">
        <f t="shared" si="102"/>
        <v>45800</v>
      </c>
      <c r="N162" s="860" t="s">
        <v>595</v>
      </c>
      <c r="O162" s="837" t="s">
        <v>137</v>
      </c>
      <c r="P162" s="837" t="s">
        <v>85</v>
      </c>
      <c r="Q162" s="838" t="s">
        <v>77</v>
      </c>
      <c r="R162" s="862"/>
      <c r="S162" s="843"/>
      <c r="T162" s="870"/>
      <c r="U162" s="871"/>
      <c r="V162" s="876">
        <f t="shared" si="122"/>
        <v>45800</v>
      </c>
      <c r="W162" s="841">
        <f t="shared" si="116"/>
        <v>45800</v>
      </c>
      <c r="X162" s="842">
        <f t="shared" si="112"/>
        <v>0</v>
      </c>
      <c r="Y162" s="843">
        <f t="shared" si="113"/>
        <v>0</v>
      </c>
      <c r="Z162" s="875" t="s">
        <v>14</v>
      </c>
      <c r="AA162" s="845" t="str">
        <f t="shared" si="117"/>
        <v>RABONA</v>
      </c>
      <c r="AB162" s="846" t="str">
        <f t="shared" si="114"/>
        <v>COMPLETED</v>
      </c>
      <c r="AC162" s="847"/>
      <c r="AD162" s="848"/>
      <c r="AE162" s="849">
        <f t="shared" si="119"/>
        <v>0</v>
      </c>
      <c r="AF162" s="833"/>
      <c r="AG162" s="850">
        <f t="shared" si="120"/>
        <v>0</v>
      </c>
      <c r="AH162" s="851">
        <f t="shared" si="121"/>
        <v>0</v>
      </c>
      <c r="AI162" s="833" t="s">
        <v>104</v>
      </c>
    </row>
    <row r="163" spans="1:35" s="852" customFormat="1" ht="56" hidden="1" customHeight="1" x14ac:dyDescent="0.25">
      <c r="A163" s="918"/>
      <c r="B163" s="919"/>
      <c r="C163" s="825" t="str">
        <f t="shared" si="115"/>
        <v>26/1/</v>
      </c>
      <c r="D163" s="826" t="s">
        <v>307</v>
      </c>
      <c r="E163" s="828" t="s">
        <v>542</v>
      </c>
      <c r="F163" s="827" t="s">
        <v>144</v>
      </c>
      <c r="G163" s="885" t="s">
        <v>39</v>
      </c>
      <c r="H163" s="830"/>
      <c r="I163" s="832"/>
      <c r="J163" s="832"/>
      <c r="K163" s="833"/>
      <c r="L163" s="834">
        <v>45795</v>
      </c>
      <c r="M163" s="835">
        <f t="shared" si="102"/>
        <v>45795</v>
      </c>
      <c r="N163" s="860" t="s">
        <v>597</v>
      </c>
      <c r="O163" s="837" t="s">
        <v>137</v>
      </c>
      <c r="P163" s="837" t="s">
        <v>85</v>
      </c>
      <c r="Q163" s="838" t="s">
        <v>77</v>
      </c>
      <c r="R163" s="862"/>
      <c r="S163" s="843"/>
      <c r="T163" s="870"/>
      <c r="U163" s="871"/>
      <c r="V163" s="876">
        <f t="shared" si="122"/>
        <v>45795</v>
      </c>
      <c r="W163" s="841">
        <f t="shared" si="116"/>
        <v>45795</v>
      </c>
      <c r="X163" s="842">
        <f t="shared" si="112"/>
        <v>0</v>
      </c>
      <c r="Y163" s="843">
        <f t="shared" si="113"/>
        <v>0</v>
      </c>
      <c r="Z163" s="875" t="s">
        <v>14</v>
      </c>
      <c r="AA163" s="845" t="s">
        <v>39</v>
      </c>
      <c r="AB163" s="846" t="str">
        <f t="shared" si="114"/>
        <v>COMPLETED</v>
      </c>
      <c r="AC163" s="847"/>
      <c r="AD163" s="848"/>
      <c r="AE163" s="849">
        <f t="shared" si="119"/>
        <v>0</v>
      </c>
      <c r="AF163" s="833"/>
      <c r="AG163" s="850">
        <f t="shared" si="120"/>
        <v>0</v>
      </c>
      <c r="AH163" s="851">
        <f t="shared" si="121"/>
        <v>0</v>
      </c>
      <c r="AI163" s="833" t="s">
        <v>104</v>
      </c>
    </row>
    <row r="164" spans="1:35" s="852" customFormat="1" ht="56" hidden="1" customHeight="1" x14ac:dyDescent="0.25">
      <c r="A164" s="918"/>
      <c r="B164" s="919"/>
      <c r="C164" s="825" t="str">
        <f t="shared" si="115"/>
        <v>26/1/</v>
      </c>
      <c r="D164" s="826" t="s">
        <v>308</v>
      </c>
      <c r="E164" s="828" t="s">
        <v>542</v>
      </c>
      <c r="F164" s="827" t="s">
        <v>144</v>
      </c>
      <c r="G164" s="885" t="s">
        <v>39</v>
      </c>
      <c r="H164" s="830"/>
      <c r="I164" s="832"/>
      <c r="J164" s="832"/>
      <c r="K164" s="833"/>
      <c r="L164" s="834">
        <v>45800</v>
      </c>
      <c r="M164" s="835">
        <f t="shared" si="102"/>
        <v>45800</v>
      </c>
      <c r="N164" s="860" t="s">
        <v>598</v>
      </c>
      <c r="O164" s="837" t="s">
        <v>93</v>
      </c>
      <c r="P164" s="837" t="s">
        <v>93</v>
      </c>
      <c r="Q164" s="838" t="s">
        <v>90</v>
      </c>
      <c r="R164" s="862"/>
      <c r="S164" s="843"/>
      <c r="T164" s="870"/>
      <c r="U164" s="871"/>
      <c r="V164" s="876">
        <f t="shared" si="122"/>
        <v>45800</v>
      </c>
      <c r="W164" s="841">
        <f t="shared" si="116"/>
        <v>45800</v>
      </c>
      <c r="X164" s="842">
        <f t="shared" si="112"/>
        <v>0</v>
      </c>
      <c r="Y164" s="843">
        <f t="shared" si="113"/>
        <v>0</v>
      </c>
      <c r="Z164" s="875" t="s">
        <v>14</v>
      </c>
      <c r="AA164" s="845" t="str">
        <f t="shared" si="117"/>
        <v>RABONA</v>
      </c>
      <c r="AB164" s="846" t="str">
        <f t="shared" si="114"/>
        <v>COMPLETED</v>
      </c>
      <c r="AC164" s="847"/>
      <c r="AD164" s="848"/>
      <c r="AE164" s="849">
        <f t="shared" si="119"/>
        <v>0</v>
      </c>
      <c r="AF164" s="833"/>
      <c r="AG164" s="850">
        <f t="shared" si="120"/>
        <v>0</v>
      </c>
      <c r="AH164" s="851">
        <f t="shared" si="121"/>
        <v>0</v>
      </c>
      <c r="AI164" s="833" t="s">
        <v>104</v>
      </c>
    </row>
    <row r="165" spans="1:35" s="852" customFormat="1" ht="56" hidden="1" customHeight="1" x14ac:dyDescent="0.25">
      <c r="A165" s="918"/>
      <c r="B165" s="919"/>
      <c r="C165" s="825" t="str">
        <f t="shared" si="115"/>
        <v>26/1/</v>
      </c>
      <c r="D165" s="826" t="s">
        <v>309</v>
      </c>
      <c r="E165" s="828" t="s">
        <v>542</v>
      </c>
      <c r="F165" s="827" t="s">
        <v>144</v>
      </c>
      <c r="G165" s="885" t="s">
        <v>39</v>
      </c>
      <c r="H165" s="830"/>
      <c r="I165" s="832"/>
      <c r="J165" s="832"/>
      <c r="K165" s="833"/>
      <c r="L165" s="834"/>
      <c r="M165" s="835">
        <f t="shared" si="102"/>
        <v>0</v>
      </c>
      <c r="N165" s="860" t="s">
        <v>549</v>
      </c>
      <c r="O165" s="837" t="s">
        <v>556</v>
      </c>
      <c r="P165" s="837" t="s">
        <v>128</v>
      </c>
      <c r="Q165" s="838" t="s">
        <v>115</v>
      </c>
      <c r="R165" s="862"/>
      <c r="S165" s="843"/>
      <c r="T165" s="870"/>
      <c r="U165" s="871"/>
      <c r="V165" s="876">
        <f t="shared" si="122"/>
        <v>0</v>
      </c>
      <c r="W165" s="841">
        <f t="shared" si="116"/>
        <v>0</v>
      </c>
      <c r="X165" s="842">
        <f t="shared" si="112"/>
        <v>0</v>
      </c>
      <c r="Y165" s="843">
        <f t="shared" si="113"/>
        <v>0</v>
      </c>
      <c r="Z165" s="875" t="s">
        <v>14</v>
      </c>
      <c r="AA165" s="845" t="str">
        <f t="shared" si="117"/>
        <v>RABONA</v>
      </c>
      <c r="AB165" s="846" t="str">
        <f t="shared" si="114"/>
        <v>COMPLETED</v>
      </c>
      <c r="AC165" s="847"/>
      <c r="AD165" s="848"/>
      <c r="AE165" s="849">
        <f t="shared" si="119"/>
        <v>0</v>
      </c>
      <c r="AF165" s="833"/>
      <c r="AG165" s="850">
        <f t="shared" si="120"/>
        <v>0</v>
      </c>
      <c r="AH165" s="851">
        <f t="shared" si="121"/>
        <v>0</v>
      </c>
      <c r="AI165" s="833" t="s">
        <v>104</v>
      </c>
    </row>
    <row r="166" spans="1:35" s="852" customFormat="1" ht="56" hidden="1" customHeight="1" x14ac:dyDescent="0.25">
      <c r="A166" s="918"/>
      <c r="B166" s="919"/>
      <c r="C166" s="825" t="str">
        <f t="shared" si="115"/>
        <v>26/1/</v>
      </c>
      <c r="D166" s="826" t="s">
        <v>310</v>
      </c>
      <c r="E166" s="828" t="s">
        <v>542</v>
      </c>
      <c r="F166" s="827" t="s">
        <v>144</v>
      </c>
      <c r="G166" s="885" t="s">
        <v>39</v>
      </c>
      <c r="H166" s="830"/>
      <c r="I166" s="832"/>
      <c r="J166" s="832"/>
      <c r="K166" s="833"/>
      <c r="L166" s="834"/>
      <c r="M166" s="835">
        <f t="shared" si="102"/>
        <v>0</v>
      </c>
      <c r="N166" s="860" t="s">
        <v>552</v>
      </c>
      <c r="O166" s="837" t="s">
        <v>586</v>
      </c>
      <c r="P166" s="995" t="s">
        <v>61</v>
      </c>
      <c r="Q166" s="838" t="s">
        <v>115</v>
      </c>
      <c r="R166" s="862"/>
      <c r="S166" s="843"/>
      <c r="T166" s="870"/>
      <c r="U166" s="871"/>
      <c r="V166" s="876">
        <f t="shared" si="122"/>
        <v>0</v>
      </c>
      <c r="W166" s="841">
        <f t="shared" si="116"/>
        <v>0</v>
      </c>
      <c r="X166" s="842">
        <f t="shared" si="112"/>
        <v>0</v>
      </c>
      <c r="Y166" s="843">
        <f t="shared" si="113"/>
        <v>0</v>
      </c>
      <c r="Z166" s="875" t="s">
        <v>14</v>
      </c>
      <c r="AA166" s="845" t="str">
        <f t="shared" si="117"/>
        <v>RABONA</v>
      </c>
      <c r="AB166" s="846" t="str">
        <f t="shared" si="114"/>
        <v>COMPLETED</v>
      </c>
      <c r="AC166" s="854"/>
      <c r="AD166" s="848"/>
      <c r="AE166" s="849">
        <f t="shared" si="119"/>
        <v>0</v>
      </c>
      <c r="AF166" s="833"/>
      <c r="AG166" s="850">
        <f t="shared" si="120"/>
        <v>0</v>
      </c>
      <c r="AH166" s="851">
        <f t="shared" si="121"/>
        <v>0</v>
      </c>
      <c r="AI166" s="833" t="s">
        <v>104</v>
      </c>
    </row>
    <row r="167" spans="1:35" s="852" customFormat="1" ht="56" hidden="1" customHeight="1" x14ac:dyDescent="0.25">
      <c r="A167" s="918"/>
      <c r="B167" s="919"/>
      <c r="C167" s="825" t="str">
        <f t="shared" si="115"/>
        <v>26/1/</v>
      </c>
      <c r="D167" s="826" t="s">
        <v>311</v>
      </c>
      <c r="E167" s="828" t="s">
        <v>542</v>
      </c>
      <c r="F167" s="827" t="s">
        <v>144</v>
      </c>
      <c r="G167" s="885" t="s">
        <v>39</v>
      </c>
      <c r="H167" s="830"/>
      <c r="I167" s="832"/>
      <c r="J167" s="832"/>
      <c r="K167" s="833"/>
      <c r="L167" s="834"/>
      <c r="M167" s="835">
        <f t="shared" si="102"/>
        <v>0</v>
      </c>
      <c r="N167" s="860" t="s">
        <v>554</v>
      </c>
      <c r="O167" s="890" t="s">
        <v>553</v>
      </c>
      <c r="P167" s="995" t="s">
        <v>61</v>
      </c>
      <c r="Q167" s="891" t="s">
        <v>115</v>
      </c>
      <c r="R167" s="862"/>
      <c r="S167" s="843"/>
      <c r="T167" s="870"/>
      <c r="U167" s="871"/>
      <c r="V167" s="876">
        <f t="shared" si="122"/>
        <v>0</v>
      </c>
      <c r="W167" s="841">
        <f t="shared" si="116"/>
        <v>0</v>
      </c>
      <c r="X167" s="842">
        <f t="shared" si="112"/>
        <v>0</v>
      </c>
      <c r="Y167" s="843">
        <f t="shared" si="113"/>
        <v>0</v>
      </c>
      <c r="Z167" s="875" t="s">
        <v>14</v>
      </c>
      <c r="AA167" s="845" t="str">
        <f t="shared" si="117"/>
        <v>RABONA</v>
      </c>
      <c r="AB167" s="846" t="str">
        <f t="shared" si="114"/>
        <v>COMPLETED</v>
      </c>
      <c r="AC167" s="854" t="s">
        <v>599</v>
      </c>
      <c r="AD167" s="848"/>
      <c r="AE167" s="849">
        <f t="shared" si="119"/>
        <v>0</v>
      </c>
      <c r="AF167" s="833"/>
      <c r="AG167" s="850">
        <f t="shared" si="120"/>
        <v>0</v>
      </c>
      <c r="AH167" s="851">
        <f t="shared" si="121"/>
        <v>0</v>
      </c>
      <c r="AI167" s="833" t="s">
        <v>104</v>
      </c>
    </row>
    <row r="168" spans="1:35" s="852" customFormat="1" ht="56" hidden="1" customHeight="1" x14ac:dyDescent="0.25">
      <c r="A168" s="918"/>
      <c r="B168" s="919"/>
      <c r="C168" s="825" t="str">
        <f t="shared" si="115"/>
        <v>26/1/</v>
      </c>
      <c r="D168" s="826" t="s">
        <v>312</v>
      </c>
      <c r="E168" s="828" t="s">
        <v>542</v>
      </c>
      <c r="F168" s="827" t="s">
        <v>144</v>
      </c>
      <c r="G168" s="885" t="s">
        <v>39</v>
      </c>
      <c r="H168" s="830"/>
      <c r="I168" s="832"/>
      <c r="J168" s="832"/>
      <c r="K168" s="833"/>
      <c r="L168" s="834"/>
      <c r="M168" s="835">
        <f t="shared" si="102"/>
        <v>0</v>
      </c>
      <c r="N168" s="860" t="s">
        <v>557</v>
      </c>
      <c r="O168" s="890" t="s">
        <v>558</v>
      </c>
      <c r="P168" s="890" t="s">
        <v>129</v>
      </c>
      <c r="Q168" s="891" t="s">
        <v>48</v>
      </c>
      <c r="R168" s="839"/>
      <c r="S168" s="895"/>
      <c r="T168" s="870"/>
      <c r="U168" s="871"/>
      <c r="V168" s="876">
        <f t="shared" si="122"/>
        <v>0</v>
      </c>
      <c r="W168" s="841">
        <f t="shared" si="116"/>
        <v>0</v>
      </c>
      <c r="X168" s="842">
        <f t="shared" si="112"/>
        <v>0</v>
      </c>
      <c r="Y168" s="843">
        <f t="shared" si="113"/>
        <v>0</v>
      </c>
      <c r="Z168" s="875" t="s">
        <v>14</v>
      </c>
      <c r="AA168" s="845" t="str">
        <f t="shared" si="117"/>
        <v>RABONA</v>
      </c>
      <c r="AB168" s="846" t="str">
        <f t="shared" si="114"/>
        <v>COMPLETED</v>
      </c>
      <c r="AC168" s="854"/>
      <c r="AD168" s="848"/>
      <c r="AE168" s="849">
        <f t="shared" si="119"/>
        <v>0</v>
      </c>
      <c r="AF168" s="833"/>
      <c r="AG168" s="850">
        <f t="shared" si="120"/>
        <v>0</v>
      </c>
      <c r="AH168" s="851">
        <f t="shared" si="121"/>
        <v>0</v>
      </c>
      <c r="AI168" s="833" t="s">
        <v>104</v>
      </c>
    </row>
    <row r="169" spans="1:35" s="852" customFormat="1" ht="56" hidden="1" customHeight="1" x14ac:dyDescent="0.25">
      <c r="A169" s="918"/>
      <c r="B169" s="919"/>
      <c r="C169" s="825" t="str">
        <f t="shared" si="115"/>
        <v>26/1/</v>
      </c>
      <c r="D169" s="826" t="s">
        <v>313</v>
      </c>
      <c r="E169" s="828" t="s">
        <v>542</v>
      </c>
      <c r="F169" s="827" t="s">
        <v>144</v>
      </c>
      <c r="G169" s="885" t="s">
        <v>39</v>
      </c>
      <c r="H169" s="830"/>
      <c r="I169" s="832"/>
      <c r="J169" s="832"/>
      <c r="K169" s="833"/>
      <c r="L169" s="834"/>
      <c r="M169" s="835">
        <f t="shared" si="102"/>
        <v>0</v>
      </c>
      <c r="N169" s="860" t="s">
        <v>559</v>
      </c>
      <c r="O169" s="890" t="s">
        <v>561</v>
      </c>
      <c r="P169" s="890" t="s">
        <v>129</v>
      </c>
      <c r="Q169" s="891" t="s">
        <v>48</v>
      </c>
      <c r="R169" s="839"/>
      <c r="S169" s="895"/>
      <c r="T169" s="870"/>
      <c r="U169" s="871"/>
      <c r="V169" s="876">
        <f t="shared" si="122"/>
        <v>0</v>
      </c>
      <c r="W169" s="841">
        <f t="shared" si="116"/>
        <v>0</v>
      </c>
      <c r="X169" s="842">
        <f t="shared" si="112"/>
        <v>0</v>
      </c>
      <c r="Y169" s="843">
        <f t="shared" si="113"/>
        <v>0</v>
      </c>
      <c r="Z169" s="875" t="s">
        <v>14</v>
      </c>
      <c r="AA169" s="845" t="str">
        <f t="shared" si="117"/>
        <v>RABONA</v>
      </c>
      <c r="AB169" s="846" t="str">
        <f t="shared" si="114"/>
        <v>COMPLETED</v>
      </c>
      <c r="AC169" s="847"/>
      <c r="AD169" s="848"/>
      <c r="AE169" s="849">
        <f t="shared" si="119"/>
        <v>0</v>
      </c>
      <c r="AF169" s="833"/>
      <c r="AG169" s="850">
        <f t="shared" si="120"/>
        <v>0</v>
      </c>
      <c r="AH169" s="851">
        <f t="shared" si="121"/>
        <v>0</v>
      </c>
      <c r="AI169" s="833" t="s">
        <v>104</v>
      </c>
    </row>
    <row r="170" spans="1:35" s="852" customFormat="1" ht="56" hidden="1" customHeight="1" x14ac:dyDescent="0.25">
      <c r="A170" s="918"/>
      <c r="B170" s="919"/>
      <c r="C170" s="825" t="str">
        <f t="shared" si="115"/>
        <v>26/1/</v>
      </c>
      <c r="D170" s="826" t="s">
        <v>314</v>
      </c>
      <c r="E170" s="828" t="s">
        <v>542</v>
      </c>
      <c r="F170" s="827" t="s">
        <v>144</v>
      </c>
      <c r="G170" s="885" t="s">
        <v>39</v>
      </c>
      <c r="H170" s="830"/>
      <c r="I170" s="832"/>
      <c r="J170" s="832"/>
      <c r="K170" s="833"/>
      <c r="L170" s="834"/>
      <c r="M170" s="835">
        <f t="shared" si="102"/>
        <v>0</v>
      </c>
      <c r="N170" s="860" t="s">
        <v>560</v>
      </c>
      <c r="O170" s="890" t="s">
        <v>562</v>
      </c>
      <c r="P170" s="890" t="s">
        <v>129</v>
      </c>
      <c r="Q170" s="891" t="s">
        <v>48</v>
      </c>
      <c r="R170" s="839"/>
      <c r="S170" s="895"/>
      <c r="T170" s="870"/>
      <c r="U170" s="871"/>
      <c r="V170" s="876">
        <f t="shared" si="122"/>
        <v>0</v>
      </c>
      <c r="W170" s="841">
        <f t="shared" si="116"/>
        <v>0</v>
      </c>
      <c r="X170" s="842">
        <f t="shared" si="112"/>
        <v>0</v>
      </c>
      <c r="Y170" s="843">
        <f t="shared" si="113"/>
        <v>0</v>
      </c>
      <c r="Z170" s="875" t="s">
        <v>14</v>
      </c>
      <c r="AA170" s="845" t="str">
        <f t="shared" si="117"/>
        <v>RABONA</v>
      </c>
      <c r="AB170" s="846" t="str">
        <f t="shared" si="114"/>
        <v>COMPLETED</v>
      </c>
      <c r="AC170" s="847"/>
      <c r="AD170" s="848"/>
      <c r="AE170" s="849">
        <f t="shared" si="119"/>
        <v>0</v>
      </c>
      <c r="AF170" s="833"/>
      <c r="AG170" s="850">
        <f t="shared" si="120"/>
        <v>0</v>
      </c>
      <c r="AH170" s="851">
        <f t="shared" si="121"/>
        <v>0</v>
      </c>
      <c r="AI170" s="833" t="s">
        <v>104</v>
      </c>
    </row>
    <row r="171" spans="1:35" s="852" customFormat="1" ht="56" hidden="1" customHeight="1" x14ac:dyDescent="0.25">
      <c r="A171" s="918"/>
      <c r="B171" s="919"/>
      <c r="C171" s="825" t="str">
        <f t="shared" si="115"/>
        <v>26/1/</v>
      </c>
      <c r="D171" s="826" t="s">
        <v>315</v>
      </c>
      <c r="E171" s="828" t="s">
        <v>542</v>
      </c>
      <c r="F171" s="827" t="s">
        <v>144</v>
      </c>
      <c r="G171" s="885" t="s">
        <v>39</v>
      </c>
      <c r="H171" s="830"/>
      <c r="I171" s="832"/>
      <c r="J171" s="832"/>
      <c r="K171" s="833"/>
      <c r="L171" s="834"/>
      <c r="M171" s="835">
        <f t="shared" si="102"/>
        <v>0</v>
      </c>
      <c r="N171" s="860" t="s">
        <v>563</v>
      </c>
      <c r="O171" s="890" t="s">
        <v>564</v>
      </c>
      <c r="P171" s="890" t="s">
        <v>129</v>
      </c>
      <c r="Q171" s="891" t="s">
        <v>48</v>
      </c>
      <c r="R171" s="839"/>
      <c r="S171" s="895"/>
      <c r="T171" s="870"/>
      <c r="U171" s="871"/>
      <c r="V171" s="876">
        <f t="shared" si="122"/>
        <v>0</v>
      </c>
      <c r="W171" s="841">
        <f t="shared" ref="W171:W202" si="123">V171</f>
        <v>0</v>
      </c>
      <c r="X171" s="842">
        <f t="shared" si="112"/>
        <v>0</v>
      </c>
      <c r="Y171" s="843">
        <f t="shared" si="113"/>
        <v>0</v>
      </c>
      <c r="Z171" s="875" t="s">
        <v>14</v>
      </c>
      <c r="AA171" s="845" t="str">
        <f t="shared" si="117"/>
        <v>RABONA</v>
      </c>
      <c r="AB171" s="846" t="str">
        <f t="shared" si="114"/>
        <v>COMPLETED</v>
      </c>
      <c r="AC171" s="847"/>
      <c r="AD171" s="848"/>
      <c r="AE171" s="849">
        <f t="shared" si="119"/>
        <v>0</v>
      </c>
      <c r="AF171" s="833"/>
      <c r="AG171" s="850">
        <f t="shared" si="120"/>
        <v>0</v>
      </c>
      <c r="AH171" s="851">
        <f t="shared" si="121"/>
        <v>0</v>
      </c>
      <c r="AI171" s="833" t="s">
        <v>104</v>
      </c>
    </row>
    <row r="172" spans="1:35" s="852" customFormat="1" ht="56" hidden="1" customHeight="1" x14ac:dyDescent="0.25">
      <c r="A172" s="918"/>
      <c r="B172" s="919"/>
      <c r="C172" s="825" t="str">
        <f t="shared" si="115"/>
        <v>26/1/</v>
      </c>
      <c r="D172" s="826" t="s">
        <v>316</v>
      </c>
      <c r="E172" s="828" t="s">
        <v>542</v>
      </c>
      <c r="F172" s="827" t="s">
        <v>144</v>
      </c>
      <c r="G172" s="885" t="s">
        <v>39</v>
      </c>
      <c r="H172" s="830"/>
      <c r="I172" s="832"/>
      <c r="J172" s="832"/>
      <c r="K172" s="833"/>
      <c r="L172" s="834"/>
      <c r="M172" s="835">
        <f t="shared" si="102"/>
        <v>0</v>
      </c>
      <c r="N172" s="860" t="s">
        <v>529</v>
      </c>
      <c r="O172" s="890" t="s">
        <v>423</v>
      </c>
      <c r="P172" s="890" t="s">
        <v>354</v>
      </c>
      <c r="Q172" s="891" t="s">
        <v>50</v>
      </c>
      <c r="R172" s="839"/>
      <c r="S172" s="895"/>
      <c r="T172" s="870"/>
      <c r="U172" s="871"/>
      <c r="V172" s="876">
        <f t="shared" si="122"/>
        <v>0</v>
      </c>
      <c r="W172" s="841">
        <f t="shared" si="123"/>
        <v>0</v>
      </c>
      <c r="X172" s="842">
        <f t="shared" si="112"/>
        <v>0</v>
      </c>
      <c r="Y172" s="843">
        <f t="shared" si="113"/>
        <v>0</v>
      </c>
      <c r="Z172" s="875" t="s">
        <v>14</v>
      </c>
      <c r="AA172" s="845" t="str">
        <f t="shared" si="117"/>
        <v>RABONA</v>
      </c>
      <c r="AB172" s="846" t="str">
        <f t="shared" si="114"/>
        <v>COMPLETED</v>
      </c>
      <c r="AC172" s="847"/>
      <c r="AD172" s="848"/>
      <c r="AE172" s="849">
        <f t="shared" si="119"/>
        <v>0</v>
      </c>
      <c r="AF172" s="833"/>
      <c r="AG172" s="850">
        <f t="shared" si="120"/>
        <v>0</v>
      </c>
      <c r="AH172" s="851">
        <f t="shared" si="121"/>
        <v>0</v>
      </c>
      <c r="AI172" s="833" t="s">
        <v>104</v>
      </c>
    </row>
    <row r="173" spans="1:35" s="852" customFormat="1" ht="56" hidden="1" customHeight="1" x14ac:dyDescent="0.25">
      <c r="A173" s="918"/>
      <c r="B173" s="919"/>
      <c r="C173" s="825" t="str">
        <f t="shared" si="115"/>
        <v>26/1/</v>
      </c>
      <c r="D173" s="826" t="s">
        <v>317</v>
      </c>
      <c r="E173" s="827"/>
      <c r="F173" s="827"/>
      <c r="G173" s="885"/>
      <c r="H173" s="830"/>
      <c r="I173" s="832"/>
      <c r="J173" s="832"/>
      <c r="K173" s="833"/>
      <c r="L173" s="834"/>
      <c r="M173" s="835">
        <f t="shared" si="102"/>
        <v>0</v>
      </c>
      <c r="N173" s="860" t="s">
        <v>574</v>
      </c>
      <c r="O173" s="890" t="s">
        <v>565</v>
      </c>
      <c r="P173" s="890" t="s">
        <v>129</v>
      </c>
      <c r="Q173" s="891" t="s">
        <v>48</v>
      </c>
      <c r="R173" s="839"/>
      <c r="S173" s="895"/>
      <c r="T173" s="870"/>
      <c r="U173" s="871"/>
      <c r="V173" s="876">
        <f t="shared" si="122"/>
        <v>0</v>
      </c>
      <c r="W173" s="841">
        <f t="shared" si="123"/>
        <v>0</v>
      </c>
      <c r="X173" s="842">
        <f t="shared" si="112"/>
        <v>0</v>
      </c>
      <c r="Y173" s="843">
        <f t="shared" si="113"/>
        <v>0</v>
      </c>
      <c r="Z173" s="875" t="s">
        <v>447</v>
      </c>
      <c r="AA173" s="845">
        <f t="shared" ref="AA173:AA205" si="124">G173</f>
        <v>0</v>
      </c>
      <c r="AB173" s="846" t="str">
        <f t="shared" si="114"/>
        <v>COMPLETED</v>
      </c>
      <c r="AC173" s="847"/>
      <c r="AD173" s="848"/>
      <c r="AE173" s="849">
        <f t="shared" si="119"/>
        <v>0</v>
      </c>
      <c r="AF173" s="833"/>
      <c r="AG173" s="850">
        <f t="shared" si="120"/>
        <v>0</v>
      </c>
      <c r="AH173" s="851">
        <f t="shared" si="121"/>
        <v>0</v>
      </c>
      <c r="AI173" s="833" t="s">
        <v>104</v>
      </c>
    </row>
    <row r="174" spans="1:35" s="852" customFormat="1" ht="56" hidden="1" customHeight="1" x14ac:dyDescent="0.25">
      <c r="A174" s="918"/>
      <c r="B174" s="919"/>
      <c r="C174" s="825" t="str">
        <f t="shared" si="115"/>
        <v>26/1/</v>
      </c>
      <c r="D174" s="826" t="s">
        <v>318</v>
      </c>
      <c r="E174" s="827"/>
      <c r="F174" s="827"/>
      <c r="G174" s="885"/>
      <c r="H174" s="830"/>
      <c r="I174" s="832"/>
      <c r="J174" s="832"/>
      <c r="K174" s="833"/>
      <c r="L174" s="834"/>
      <c r="M174" s="835">
        <f t="shared" ref="M174" si="125">L174</f>
        <v>0</v>
      </c>
      <c r="N174" s="860" t="s">
        <v>566</v>
      </c>
      <c r="O174" s="890" t="s">
        <v>567</v>
      </c>
      <c r="P174" s="890" t="s">
        <v>129</v>
      </c>
      <c r="Q174" s="891" t="s">
        <v>48</v>
      </c>
      <c r="R174" s="839"/>
      <c r="S174" s="895"/>
      <c r="T174" s="870"/>
      <c r="U174" s="871"/>
      <c r="V174" s="876">
        <f t="shared" si="122"/>
        <v>0</v>
      </c>
      <c r="W174" s="841">
        <f t="shared" si="123"/>
        <v>0</v>
      </c>
      <c r="X174" s="842">
        <f t="shared" si="112"/>
        <v>0</v>
      </c>
      <c r="Y174" s="843">
        <f t="shared" si="113"/>
        <v>0</v>
      </c>
      <c r="Z174" s="875" t="s">
        <v>447</v>
      </c>
      <c r="AA174" s="845">
        <f t="shared" si="124"/>
        <v>0</v>
      </c>
      <c r="AB174" s="846" t="str">
        <f t="shared" si="114"/>
        <v>COMPLETED</v>
      </c>
      <c r="AC174" s="847"/>
      <c r="AD174" s="848"/>
      <c r="AE174" s="849">
        <f t="shared" si="119"/>
        <v>0</v>
      </c>
      <c r="AF174" s="833"/>
      <c r="AG174" s="850">
        <f t="shared" si="120"/>
        <v>0</v>
      </c>
      <c r="AH174" s="851">
        <f t="shared" si="121"/>
        <v>0</v>
      </c>
      <c r="AI174" s="833" t="s">
        <v>104</v>
      </c>
    </row>
    <row r="175" spans="1:35" s="852" customFormat="1" ht="56" hidden="1" customHeight="1" x14ac:dyDescent="0.25">
      <c r="A175" s="918"/>
      <c r="B175" s="919"/>
      <c r="C175" s="825" t="str">
        <f t="shared" si="115"/>
        <v>26/1/</v>
      </c>
      <c r="D175" s="826" t="s">
        <v>319</v>
      </c>
      <c r="E175" s="827"/>
      <c r="F175" s="827"/>
      <c r="G175" s="885"/>
      <c r="H175" s="830"/>
      <c r="I175" s="832"/>
      <c r="J175" s="832"/>
      <c r="K175" s="833"/>
      <c r="L175" s="834"/>
      <c r="M175" s="835">
        <f t="shared" ref="M175:M179" si="126">L175</f>
        <v>0</v>
      </c>
      <c r="N175" s="860" t="s">
        <v>568</v>
      </c>
      <c r="O175" s="890" t="s">
        <v>569</v>
      </c>
      <c r="P175" s="890" t="s">
        <v>129</v>
      </c>
      <c r="Q175" s="891" t="s">
        <v>48</v>
      </c>
      <c r="R175" s="839"/>
      <c r="S175" s="895"/>
      <c r="T175" s="870"/>
      <c r="U175" s="871"/>
      <c r="V175" s="876">
        <f t="shared" si="122"/>
        <v>0</v>
      </c>
      <c r="W175" s="841">
        <f t="shared" si="123"/>
        <v>0</v>
      </c>
      <c r="X175" s="842">
        <f t="shared" si="112"/>
        <v>0</v>
      </c>
      <c r="Y175" s="843">
        <f t="shared" si="113"/>
        <v>0</v>
      </c>
      <c r="Z175" s="875" t="s">
        <v>447</v>
      </c>
      <c r="AA175" s="845">
        <f t="shared" si="124"/>
        <v>0</v>
      </c>
      <c r="AB175" s="846" t="str">
        <f t="shared" si="114"/>
        <v>COMPLETED</v>
      </c>
      <c r="AC175" s="847"/>
      <c r="AD175" s="848"/>
      <c r="AE175" s="849">
        <f t="shared" si="119"/>
        <v>0</v>
      </c>
      <c r="AF175" s="833"/>
      <c r="AG175" s="850">
        <f t="shared" si="120"/>
        <v>0</v>
      </c>
      <c r="AH175" s="851">
        <f t="shared" si="121"/>
        <v>0</v>
      </c>
      <c r="AI175" s="833" t="s">
        <v>104</v>
      </c>
    </row>
    <row r="176" spans="1:35" s="852" customFormat="1" ht="56" hidden="1" customHeight="1" x14ac:dyDescent="0.25">
      <c r="A176" s="918"/>
      <c r="B176" s="919"/>
      <c r="C176" s="825" t="str">
        <f t="shared" si="115"/>
        <v>26/1/</v>
      </c>
      <c r="D176" s="826" t="s">
        <v>320</v>
      </c>
      <c r="E176" s="827"/>
      <c r="F176" s="827"/>
      <c r="G176" s="885"/>
      <c r="H176" s="830"/>
      <c r="I176" s="832"/>
      <c r="J176" s="832"/>
      <c r="K176" s="833"/>
      <c r="L176" s="834"/>
      <c r="M176" s="835">
        <f t="shared" si="126"/>
        <v>0</v>
      </c>
      <c r="N176" s="896" t="s">
        <v>548</v>
      </c>
      <c r="O176" s="890" t="s">
        <v>575</v>
      </c>
      <c r="P176" s="890" t="s">
        <v>51</v>
      </c>
      <c r="Q176" s="891" t="s">
        <v>51</v>
      </c>
      <c r="R176" s="839"/>
      <c r="S176" s="895"/>
      <c r="T176" s="870"/>
      <c r="U176" s="871"/>
      <c r="V176" s="876">
        <f t="shared" si="122"/>
        <v>0</v>
      </c>
      <c r="W176" s="841">
        <f t="shared" si="123"/>
        <v>0</v>
      </c>
      <c r="X176" s="842">
        <f t="shared" si="112"/>
        <v>0</v>
      </c>
      <c r="Y176" s="843">
        <f t="shared" si="113"/>
        <v>0</v>
      </c>
      <c r="Z176" s="875" t="s">
        <v>447</v>
      </c>
      <c r="AA176" s="845">
        <f t="shared" si="124"/>
        <v>0</v>
      </c>
      <c r="AB176" s="846" t="str">
        <f t="shared" si="114"/>
        <v>COMPLETED</v>
      </c>
      <c r="AC176" s="847"/>
      <c r="AD176" s="848"/>
      <c r="AE176" s="849">
        <f t="shared" si="119"/>
        <v>0</v>
      </c>
      <c r="AF176" s="833"/>
      <c r="AG176" s="850">
        <f t="shared" si="120"/>
        <v>0</v>
      </c>
      <c r="AH176" s="851">
        <f t="shared" si="121"/>
        <v>0</v>
      </c>
      <c r="AI176" s="833" t="s">
        <v>104</v>
      </c>
    </row>
    <row r="177" spans="1:35" s="852" customFormat="1" ht="56" hidden="1" customHeight="1" x14ac:dyDescent="0.25">
      <c r="A177" s="918"/>
      <c r="B177" s="919"/>
      <c r="C177" s="825" t="str">
        <f t="shared" si="115"/>
        <v>26/1/</v>
      </c>
      <c r="D177" s="826" t="s">
        <v>321</v>
      </c>
      <c r="E177" s="827"/>
      <c r="F177" s="827"/>
      <c r="G177" s="885"/>
      <c r="H177" s="830"/>
      <c r="I177" s="832"/>
      <c r="J177" s="832"/>
      <c r="K177" s="833"/>
      <c r="L177" s="834"/>
      <c r="M177" s="835">
        <f t="shared" si="126"/>
        <v>0</v>
      </c>
      <c r="N177" s="860" t="s">
        <v>570</v>
      </c>
      <c r="O177" s="890" t="s">
        <v>571</v>
      </c>
      <c r="P177" s="890" t="s">
        <v>129</v>
      </c>
      <c r="Q177" s="891" t="s">
        <v>48</v>
      </c>
      <c r="R177" s="839"/>
      <c r="S177" s="895"/>
      <c r="T177" s="870"/>
      <c r="U177" s="871"/>
      <c r="V177" s="876">
        <f t="shared" si="122"/>
        <v>0</v>
      </c>
      <c r="W177" s="841">
        <f t="shared" si="123"/>
        <v>0</v>
      </c>
      <c r="X177" s="842">
        <f t="shared" si="112"/>
        <v>0</v>
      </c>
      <c r="Y177" s="843">
        <f t="shared" si="113"/>
        <v>0</v>
      </c>
      <c r="Z177" s="875" t="s">
        <v>447</v>
      </c>
      <c r="AA177" s="845">
        <f t="shared" si="124"/>
        <v>0</v>
      </c>
      <c r="AB177" s="846" t="str">
        <f t="shared" si="114"/>
        <v>COMPLETED</v>
      </c>
      <c r="AC177" s="847"/>
      <c r="AD177" s="848"/>
      <c r="AE177" s="849">
        <f t="shared" ref="AE177:AE205" si="127">IF(AA177=$AD$5,S177,0)</f>
        <v>0</v>
      </c>
      <c r="AF177" s="833"/>
      <c r="AG177" s="850">
        <f t="shared" ref="AG177:AG205" si="128">IF(Z177=$AG$5,X177,0)</f>
        <v>0</v>
      </c>
      <c r="AH177" s="851">
        <f t="shared" ref="AH177:AH205" si="129">IF(AA177=$AH$5,X177,0)</f>
        <v>0</v>
      </c>
      <c r="AI177" s="833" t="s">
        <v>104</v>
      </c>
    </row>
    <row r="178" spans="1:35" s="852" customFormat="1" ht="56" hidden="1" customHeight="1" x14ac:dyDescent="0.25">
      <c r="A178" s="918"/>
      <c r="B178" s="919"/>
      <c r="C178" s="825" t="str">
        <f t="shared" si="115"/>
        <v>26/1/</v>
      </c>
      <c r="D178" s="826" t="s">
        <v>322</v>
      </c>
      <c r="E178" s="827"/>
      <c r="F178" s="827"/>
      <c r="G178" s="885"/>
      <c r="H178" s="830"/>
      <c r="I178" s="832"/>
      <c r="J178" s="832"/>
      <c r="K178" s="833"/>
      <c r="L178" s="834"/>
      <c r="M178" s="835">
        <f t="shared" si="126"/>
        <v>0</v>
      </c>
      <c r="N178" s="860" t="s">
        <v>573</v>
      </c>
      <c r="O178" s="890" t="s">
        <v>572</v>
      </c>
      <c r="P178" s="890" t="s">
        <v>129</v>
      </c>
      <c r="Q178" s="891" t="s">
        <v>48</v>
      </c>
      <c r="R178" s="839"/>
      <c r="S178" s="895"/>
      <c r="T178" s="870"/>
      <c r="U178" s="871"/>
      <c r="V178" s="876">
        <f t="shared" si="122"/>
        <v>0</v>
      </c>
      <c r="W178" s="841">
        <f t="shared" si="123"/>
        <v>0</v>
      </c>
      <c r="X178" s="842">
        <f t="shared" si="112"/>
        <v>0</v>
      </c>
      <c r="Y178" s="843">
        <f t="shared" si="113"/>
        <v>0</v>
      </c>
      <c r="Z178" s="875" t="s">
        <v>447</v>
      </c>
      <c r="AA178" s="845">
        <f t="shared" si="124"/>
        <v>0</v>
      </c>
      <c r="AB178" s="846" t="str">
        <f t="shared" si="114"/>
        <v>COMPLETED</v>
      </c>
      <c r="AC178" s="847"/>
      <c r="AD178" s="848"/>
      <c r="AE178" s="849">
        <f t="shared" si="127"/>
        <v>0</v>
      </c>
      <c r="AF178" s="833"/>
      <c r="AG178" s="850">
        <f t="shared" si="128"/>
        <v>0</v>
      </c>
      <c r="AH178" s="851">
        <f t="shared" si="129"/>
        <v>0</v>
      </c>
      <c r="AI178" s="833" t="s">
        <v>104</v>
      </c>
    </row>
    <row r="179" spans="1:35" s="852" customFormat="1" ht="56" hidden="1" customHeight="1" x14ac:dyDescent="0.25">
      <c r="A179" s="918"/>
      <c r="B179" s="919"/>
      <c r="C179" s="825" t="str">
        <f t="shared" si="115"/>
        <v>26/1/</v>
      </c>
      <c r="D179" s="826" t="s">
        <v>323</v>
      </c>
      <c r="E179" s="827"/>
      <c r="F179" s="827"/>
      <c r="G179" s="885"/>
      <c r="H179" s="830"/>
      <c r="I179" s="832"/>
      <c r="J179" s="832"/>
      <c r="K179" s="833"/>
      <c r="L179" s="834"/>
      <c r="M179" s="835">
        <f t="shared" si="126"/>
        <v>0</v>
      </c>
      <c r="N179" s="896" t="s">
        <v>39</v>
      </c>
      <c r="O179" s="837" t="s">
        <v>536</v>
      </c>
      <c r="P179" s="837" t="s">
        <v>530</v>
      </c>
      <c r="Q179" s="838" t="s">
        <v>530</v>
      </c>
      <c r="R179" s="839"/>
      <c r="S179" s="895"/>
      <c r="T179" s="870"/>
      <c r="U179" s="871"/>
      <c r="V179" s="876"/>
      <c r="W179" s="841">
        <f t="shared" si="123"/>
        <v>0</v>
      </c>
      <c r="X179" s="842">
        <f t="shared" si="112"/>
        <v>0</v>
      </c>
      <c r="Y179" s="843">
        <f t="shared" si="113"/>
        <v>0</v>
      </c>
      <c r="Z179" s="875"/>
      <c r="AA179" s="845">
        <f t="shared" si="124"/>
        <v>0</v>
      </c>
      <c r="AB179" s="846" t="str">
        <f t="shared" si="114"/>
        <v>COMPLETED</v>
      </c>
      <c r="AC179" s="847"/>
      <c r="AD179" s="848"/>
      <c r="AE179" s="849">
        <f t="shared" si="127"/>
        <v>0</v>
      </c>
      <c r="AF179" s="833"/>
      <c r="AG179" s="850">
        <f t="shared" si="128"/>
        <v>0</v>
      </c>
      <c r="AH179" s="851">
        <f t="shared" si="129"/>
        <v>0</v>
      </c>
      <c r="AI179" s="833"/>
    </row>
    <row r="180" spans="1:35" s="852" customFormat="1" ht="56" hidden="1" customHeight="1" x14ac:dyDescent="0.25">
      <c r="A180" s="918"/>
      <c r="B180" s="919"/>
      <c r="C180" s="825" t="str">
        <f t="shared" si="115"/>
        <v>26/1/</v>
      </c>
      <c r="D180" s="826" t="s">
        <v>324</v>
      </c>
      <c r="E180" s="827"/>
      <c r="F180" s="827"/>
      <c r="G180" s="885"/>
      <c r="H180" s="830"/>
      <c r="I180" s="832"/>
      <c r="J180" s="832"/>
      <c r="K180" s="833"/>
      <c r="L180" s="834"/>
      <c r="M180" s="835">
        <f>L180</f>
        <v>0</v>
      </c>
      <c r="N180" s="896" t="s">
        <v>39</v>
      </c>
      <c r="O180" s="837" t="s">
        <v>536</v>
      </c>
      <c r="P180" s="837" t="s">
        <v>530</v>
      </c>
      <c r="Q180" s="838" t="s">
        <v>530</v>
      </c>
      <c r="R180" s="839"/>
      <c r="S180" s="895"/>
      <c r="T180" s="870"/>
      <c r="U180" s="871"/>
      <c r="V180" s="876"/>
      <c r="W180" s="841">
        <f t="shared" si="123"/>
        <v>0</v>
      </c>
      <c r="X180" s="842">
        <f t="shared" si="112"/>
        <v>0</v>
      </c>
      <c r="Y180" s="843">
        <f t="shared" si="113"/>
        <v>0</v>
      </c>
      <c r="Z180" s="875"/>
      <c r="AA180" s="845">
        <f t="shared" si="124"/>
        <v>0</v>
      </c>
      <c r="AB180" s="846" t="str">
        <f t="shared" si="114"/>
        <v>COMPLETED</v>
      </c>
      <c r="AC180" s="847"/>
      <c r="AD180" s="848"/>
      <c r="AE180" s="849">
        <f t="shared" si="127"/>
        <v>0</v>
      </c>
      <c r="AF180" s="833"/>
      <c r="AG180" s="850">
        <f t="shared" si="128"/>
        <v>0</v>
      </c>
      <c r="AH180" s="851">
        <f t="shared" si="129"/>
        <v>0</v>
      </c>
      <c r="AI180" s="833"/>
    </row>
    <row r="181" spans="1:35" s="852" customFormat="1" ht="56" hidden="1" customHeight="1" x14ac:dyDescent="0.25">
      <c r="A181" s="918"/>
      <c r="B181" s="919"/>
      <c r="C181" s="825" t="str">
        <f t="shared" si="115"/>
        <v>26/1/</v>
      </c>
      <c r="D181" s="826" t="s">
        <v>325</v>
      </c>
      <c r="E181" s="827"/>
      <c r="F181" s="827"/>
      <c r="G181" s="885"/>
      <c r="H181" s="830"/>
      <c r="I181" s="832"/>
      <c r="J181" s="832"/>
      <c r="K181" s="833"/>
      <c r="L181" s="834"/>
      <c r="M181" s="835">
        <f t="shared" ref="M181:M184" si="130">L181</f>
        <v>0</v>
      </c>
      <c r="N181" s="860" t="s">
        <v>539</v>
      </c>
      <c r="O181" s="890" t="s">
        <v>541</v>
      </c>
      <c r="P181" s="890" t="s">
        <v>129</v>
      </c>
      <c r="Q181" s="891" t="s">
        <v>48</v>
      </c>
      <c r="R181" s="839"/>
      <c r="S181" s="895"/>
      <c r="T181" s="870"/>
      <c r="U181" s="871"/>
      <c r="V181" s="876"/>
      <c r="W181" s="841">
        <f t="shared" si="123"/>
        <v>0</v>
      </c>
      <c r="X181" s="842">
        <f t="shared" si="112"/>
        <v>0</v>
      </c>
      <c r="Y181" s="843">
        <f t="shared" si="113"/>
        <v>0</v>
      </c>
      <c r="Z181" s="875"/>
      <c r="AA181" s="845">
        <f t="shared" si="124"/>
        <v>0</v>
      </c>
      <c r="AB181" s="846" t="str">
        <f t="shared" si="114"/>
        <v>COMPLETED</v>
      </c>
      <c r="AC181" s="847"/>
      <c r="AD181" s="848"/>
      <c r="AE181" s="849">
        <f t="shared" si="127"/>
        <v>0</v>
      </c>
      <c r="AF181" s="833"/>
      <c r="AG181" s="850">
        <f t="shared" si="128"/>
        <v>0</v>
      </c>
      <c r="AH181" s="851">
        <f t="shared" si="129"/>
        <v>0</v>
      </c>
      <c r="AI181" s="833"/>
    </row>
    <row r="182" spans="1:35" s="852" customFormat="1" ht="56" hidden="1" customHeight="1" x14ac:dyDescent="0.25">
      <c r="A182" s="918"/>
      <c r="B182" s="919"/>
      <c r="C182" s="825" t="str">
        <f t="shared" si="115"/>
        <v>26/1/</v>
      </c>
      <c r="D182" s="826" t="s">
        <v>326</v>
      </c>
      <c r="E182" s="827"/>
      <c r="F182" s="827"/>
      <c r="G182" s="885"/>
      <c r="H182" s="830"/>
      <c r="I182" s="832"/>
      <c r="J182" s="832"/>
      <c r="K182" s="833"/>
      <c r="L182" s="834"/>
      <c r="M182" s="835">
        <f t="shared" si="130"/>
        <v>0</v>
      </c>
      <c r="N182" s="860" t="s">
        <v>540</v>
      </c>
      <c r="O182" s="890" t="s">
        <v>537</v>
      </c>
      <c r="P182" s="890" t="s">
        <v>129</v>
      </c>
      <c r="Q182" s="891" t="s">
        <v>48</v>
      </c>
      <c r="R182" s="839"/>
      <c r="S182" s="840"/>
      <c r="T182" s="870"/>
      <c r="U182" s="871"/>
      <c r="V182" s="876"/>
      <c r="W182" s="841">
        <f t="shared" si="123"/>
        <v>0</v>
      </c>
      <c r="X182" s="842">
        <f t="shared" si="112"/>
        <v>0</v>
      </c>
      <c r="Y182" s="843">
        <f t="shared" si="113"/>
        <v>0</v>
      </c>
      <c r="Z182" s="875"/>
      <c r="AA182" s="845">
        <f t="shared" si="124"/>
        <v>0</v>
      </c>
      <c r="AB182" s="846" t="str">
        <f t="shared" si="114"/>
        <v>COMPLETED</v>
      </c>
      <c r="AC182" s="847"/>
      <c r="AD182" s="848"/>
      <c r="AE182" s="849">
        <f t="shared" si="127"/>
        <v>0</v>
      </c>
      <c r="AF182" s="833"/>
      <c r="AG182" s="850">
        <f t="shared" si="128"/>
        <v>0</v>
      </c>
      <c r="AH182" s="851">
        <f t="shared" si="129"/>
        <v>0</v>
      </c>
      <c r="AI182" s="833"/>
    </row>
    <row r="183" spans="1:35" s="852" customFormat="1" ht="56" hidden="1" customHeight="1" x14ac:dyDescent="0.25">
      <c r="A183" s="918"/>
      <c r="B183" s="919"/>
      <c r="C183" s="825" t="str">
        <f t="shared" si="115"/>
        <v>26/1/</v>
      </c>
      <c r="D183" s="826" t="s">
        <v>327</v>
      </c>
      <c r="E183" s="827"/>
      <c r="F183" s="827"/>
      <c r="G183" s="885"/>
      <c r="H183" s="830"/>
      <c r="I183" s="832"/>
      <c r="J183" s="832"/>
      <c r="K183" s="833"/>
      <c r="L183" s="834"/>
      <c r="M183" s="835">
        <f t="shared" si="130"/>
        <v>0</v>
      </c>
      <c r="N183" s="896" t="s">
        <v>39</v>
      </c>
      <c r="O183" s="837" t="s">
        <v>536</v>
      </c>
      <c r="P183" s="837" t="s">
        <v>530</v>
      </c>
      <c r="Q183" s="838" t="s">
        <v>530</v>
      </c>
      <c r="R183" s="839"/>
      <c r="S183" s="840"/>
      <c r="T183" s="870"/>
      <c r="U183" s="871"/>
      <c r="V183" s="897"/>
      <c r="W183" s="841">
        <f t="shared" si="123"/>
        <v>0</v>
      </c>
      <c r="X183" s="842">
        <f t="shared" si="112"/>
        <v>0</v>
      </c>
      <c r="Y183" s="843">
        <f t="shared" si="113"/>
        <v>0</v>
      </c>
      <c r="Z183" s="875"/>
      <c r="AA183" s="845">
        <f t="shared" si="124"/>
        <v>0</v>
      </c>
      <c r="AB183" s="846" t="str">
        <f t="shared" si="114"/>
        <v>COMPLETED</v>
      </c>
      <c r="AC183" s="847"/>
      <c r="AD183" s="848"/>
      <c r="AE183" s="849">
        <f t="shared" si="127"/>
        <v>0</v>
      </c>
      <c r="AF183" s="833"/>
      <c r="AG183" s="850">
        <f t="shared" si="128"/>
        <v>0</v>
      </c>
      <c r="AH183" s="851">
        <f t="shared" si="129"/>
        <v>0</v>
      </c>
      <c r="AI183" s="833"/>
    </row>
    <row r="184" spans="1:35" s="852" customFormat="1" ht="56" hidden="1" customHeight="1" x14ac:dyDescent="0.25">
      <c r="A184" s="918"/>
      <c r="B184" s="919"/>
      <c r="C184" s="825" t="str">
        <f t="shared" si="115"/>
        <v>26/1/</v>
      </c>
      <c r="D184" s="826" t="s">
        <v>328</v>
      </c>
      <c r="E184" s="827"/>
      <c r="F184" s="827"/>
      <c r="G184" s="885"/>
      <c r="H184" s="830"/>
      <c r="I184" s="832"/>
      <c r="J184" s="832"/>
      <c r="K184" s="833"/>
      <c r="L184" s="834"/>
      <c r="M184" s="835">
        <f t="shared" si="130"/>
        <v>0</v>
      </c>
      <c r="N184" s="880" t="s">
        <v>529</v>
      </c>
      <c r="O184" s="837" t="s">
        <v>423</v>
      </c>
      <c r="P184" s="837" t="s">
        <v>354</v>
      </c>
      <c r="Q184" s="838" t="s">
        <v>50</v>
      </c>
      <c r="R184" s="839"/>
      <c r="S184" s="840"/>
      <c r="T184" s="870"/>
      <c r="U184" s="871"/>
      <c r="V184" s="876"/>
      <c r="W184" s="841">
        <f t="shared" si="123"/>
        <v>0</v>
      </c>
      <c r="X184" s="842">
        <f t="shared" si="112"/>
        <v>0</v>
      </c>
      <c r="Y184" s="843">
        <f t="shared" si="113"/>
        <v>0</v>
      </c>
      <c r="Z184" s="875"/>
      <c r="AA184" s="845">
        <f t="shared" si="124"/>
        <v>0</v>
      </c>
      <c r="AB184" s="846" t="str">
        <f t="shared" si="114"/>
        <v>COMPLETED</v>
      </c>
      <c r="AC184" s="847"/>
      <c r="AD184" s="848"/>
      <c r="AE184" s="849">
        <f t="shared" si="127"/>
        <v>0</v>
      </c>
      <c r="AF184" s="833"/>
      <c r="AG184" s="850">
        <f t="shared" si="128"/>
        <v>0</v>
      </c>
      <c r="AH184" s="851">
        <f t="shared" si="129"/>
        <v>0</v>
      </c>
      <c r="AI184" s="833"/>
    </row>
    <row r="185" spans="1:35" s="852" customFormat="1" ht="56" hidden="1" customHeight="1" x14ac:dyDescent="0.25">
      <c r="A185" s="918"/>
      <c r="B185" s="919"/>
      <c r="C185" s="825" t="str">
        <f t="shared" si="115"/>
        <v>26/1/</v>
      </c>
      <c r="D185" s="826" t="s">
        <v>329</v>
      </c>
      <c r="E185" s="827"/>
      <c r="F185" s="827"/>
      <c r="G185" s="885"/>
      <c r="H185" s="830"/>
      <c r="I185" s="832"/>
      <c r="J185" s="832"/>
      <c r="K185" s="833"/>
      <c r="L185" s="834"/>
      <c r="M185" s="835"/>
      <c r="N185" s="898" t="s">
        <v>40</v>
      </c>
      <c r="O185" s="837" t="s">
        <v>555</v>
      </c>
      <c r="P185" s="837" t="s">
        <v>361</v>
      </c>
      <c r="Q185" s="838" t="s">
        <v>361</v>
      </c>
      <c r="R185" s="862"/>
      <c r="S185" s="843"/>
      <c r="T185" s="870"/>
      <c r="U185" s="871"/>
      <c r="V185" s="876"/>
      <c r="W185" s="841">
        <f t="shared" si="123"/>
        <v>0</v>
      </c>
      <c r="X185" s="842">
        <f t="shared" si="112"/>
        <v>0</v>
      </c>
      <c r="Y185" s="843">
        <f t="shared" si="113"/>
        <v>0</v>
      </c>
      <c r="Z185" s="875"/>
      <c r="AA185" s="845">
        <f t="shared" si="124"/>
        <v>0</v>
      </c>
      <c r="AB185" s="846" t="str">
        <f t="shared" si="114"/>
        <v>COMPLETED</v>
      </c>
      <c r="AC185" s="847"/>
      <c r="AD185" s="848"/>
      <c r="AE185" s="849">
        <f t="shared" si="127"/>
        <v>0</v>
      </c>
      <c r="AF185" s="833"/>
      <c r="AG185" s="850">
        <f t="shared" si="128"/>
        <v>0</v>
      </c>
      <c r="AH185" s="851">
        <f t="shared" si="129"/>
        <v>0</v>
      </c>
      <c r="AI185" s="833"/>
    </row>
    <row r="186" spans="1:35" s="852" customFormat="1" ht="56" hidden="1" customHeight="1" x14ac:dyDescent="0.25">
      <c r="A186" s="918"/>
      <c r="B186" s="919"/>
      <c r="C186" s="825" t="str">
        <f t="shared" si="115"/>
        <v>26/1/</v>
      </c>
      <c r="D186" s="826" t="s">
        <v>330</v>
      </c>
      <c r="E186" s="827"/>
      <c r="F186" s="827"/>
      <c r="G186" s="885"/>
      <c r="H186" s="830"/>
      <c r="I186" s="832"/>
      <c r="J186" s="832"/>
      <c r="K186" s="833"/>
      <c r="L186" s="834"/>
      <c r="M186" s="835"/>
      <c r="N186" s="880" t="s">
        <v>529</v>
      </c>
      <c r="O186" s="837" t="s">
        <v>423</v>
      </c>
      <c r="P186" s="837" t="s">
        <v>354</v>
      </c>
      <c r="Q186" s="838" t="s">
        <v>50</v>
      </c>
      <c r="R186" s="862"/>
      <c r="S186" s="843"/>
      <c r="T186" s="870"/>
      <c r="U186" s="871"/>
      <c r="V186" s="876"/>
      <c r="W186" s="841">
        <f t="shared" si="123"/>
        <v>0</v>
      </c>
      <c r="X186" s="842">
        <f t="shared" si="112"/>
        <v>0</v>
      </c>
      <c r="Y186" s="843">
        <f t="shared" si="113"/>
        <v>0</v>
      </c>
      <c r="Z186" s="875"/>
      <c r="AA186" s="845">
        <f t="shared" si="124"/>
        <v>0</v>
      </c>
      <c r="AB186" s="846" t="str">
        <f t="shared" si="114"/>
        <v>COMPLETED</v>
      </c>
      <c r="AC186" s="847"/>
      <c r="AD186" s="848"/>
      <c r="AE186" s="849">
        <f t="shared" si="127"/>
        <v>0</v>
      </c>
      <c r="AF186" s="833"/>
      <c r="AG186" s="850">
        <f t="shared" si="128"/>
        <v>0</v>
      </c>
      <c r="AH186" s="851">
        <f t="shared" si="129"/>
        <v>0</v>
      </c>
      <c r="AI186" s="833"/>
    </row>
    <row r="187" spans="1:35" s="852" customFormat="1" ht="56" hidden="1" customHeight="1" x14ac:dyDescent="0.25">
      <c r="A187" s="918"/>
      <c r="B187" s="919"/>
      <c r="C187" s="825" t="str">
        <f t="shared" si="115"/>
        <v>26/1/</v>
      </c>
      <c r="D187" s="826" t="s">
        <v>331</v>
      </c>
      <c r="E187" s="827"/>
      <c r="F187" s="827"/>
      <c r="G187" s="885"/>
      <c r="H187" s="830"/>
      <c r="I187" s="832"/>
      <c r="J187" s="832"/>
      <c r="K187" s="833"/>
      <c r="L187" s="834"/>
      <c r="M187" s="835"/>
      <c r="N187" s="860" t="s">
        <v>532</v>
      </c>
      <c r="O187" s="890" t="s">
        <v>533</v>
      </c>
      <c r="P187" s="890" t="s">
        <v>129</v>
      </c>
      <c r="Q187" s="891" t="s">
        <v>48</v>
      </c>
      <c r="R187" s="862"/>
      <c r="S187" s="843"/>
      <c r="T187" s="870"/>
      <c r="U187" s="871"/>
      <c r="V187" s="876"/>
      <c r="W187" s="841">
        <f t="shared" si="123"/>
        <v>0</v>
      </c>
      <c r="X187" s="842">
        <f t="shared" si="112"/>
        <v>0</v>
      </c>
      <c r="Y187" s="843">
        <f t="shared" si="113"/>
        <v>0</v>
      </c>
      <c r="Z187" s="875"/>
      <c r="AA187" s="845">
        <f t="shared" si="124"/>
        <v>0</v>
      </c>
      <c r="AB187" s="846" t="str">
        <f t="shared" si="114"/>
        <v>COMPLETED</v>
      </c>
      <c r="AC187" s="847"/>
      <c r="AD187" s="848"/>
      <c r="AE187" s="849">
        <f t="shared" si="127"/>
        <v>0</v>
      </c>
      <c r="AF187" s="833"/>
      <c r="AG187" s="850">
        <f t="shared" si="128"/>
        <v>0</v>
      </c>
      <c r="AH187" s="851">
        <f t="shared" si="129"/>
        <v>0</v>
      </c>
      <c r="AI187" s="833"/>
    </row>
    <row r="188" spans="1:35" s="852" customFormat="1" ht="56" hidden="1" customHeight="1" x14ac:dyDescent="0.25">
      <c r="A188" s="918"/>
      <c r="B188" s="919"/>
      <c r="C188" s="825" t="str">
        <f t="shared" si="115"/>
        <v>26/1/</v>
      </c>
      <c r="D188" s="826" t="s">
        <v>332</v>
      </c>
      <c r="E188" s="827"/>
      <c r="F188" s="827"/>
      <c r="G188" s="885"/>
      <c r="H188" s="855"/>
      <c r="I188" s="832"/>
      <c r="J188" s="832"/>
      <c r="K188" s="833"/>
      <c r="L188" s="834"/>
      <c r="M188" s="835"/>
      <c r="N188" s="860" t="s">
        <v>534</v>
      </c>
      <c r="O188" s="890" t="s">
        <v>535</v>
      </c>
      <c r="P188" s="890" t="s">
        <v>129</v>
      </c>
      <c r="Q188" s="891" t="s">
        <v>48</v>
      </c>
      <c r="R188" s="862"/>
      <c r="S188" s="843"/>
      <c r="T188" s="870"/>
      <c r="U188" s="871"/>
      <c r="V188" s="876"/>
      <c r="W188" s="841">
        <f t="shared" si="123"/>
        <v>0</v>
      </c>
      <c r="X188" s="842">
        <f t="shared" si="112"/>
        <v>0</v>
      </c>
      <c r="Y188" s="843">
        <f t="shared" si="113"/>
        <v>0</v>
      </c>
      <c r="Z188" s="875"/>
      <c r="AA188" s="845">
        <f t="shared" si="124"/>
        <v>0</v>
      </c>
      <c r="AB188" s="846" t="str">
        <f t="shared" si="114"/>
        <v>COMPLETED</v>
      </c>
      <c r="AC188" s="847"/>
      <c r="AD188" s="899"/>
      <c r="AE188" s="849">
        <f t="shared" si="127"/>
        <v>0</v>
      </c>
      <c r="AF188" s="833"/>
      <c r="AG188" s="850">
        <f t="shared" si="128"/>
        <v>0</v>
      </c>
      <c r="AH188" s="851">
        <f t="shared" si="129"/>
        <v>0</v>
      </c>
      <c r="AI188" s="833"/>
    </row>
    <row r="189" spans="1:35" s="852" customFormat="1" ht="56" hidden="1" customHeight="1" x14ac:dyDescent="0.25">
      <c r="A189" s="918"/>
      <c r="B189" s="919"/>
      <c r="C189" s="825" t="str">
        <f t="shared" si="115"/>
        <v>26/1/</v>
      </c>
      <c r="D189" s="826" t="s">
        <v>333</v>
      </c>
      <c r="E189" s="827"/>
      <c r="F189" s="827"/>
      <c r="G189" s="885"/>
      <c r="H189" s="900"/>
      <c r="I189" s="901"/>
      <c r="J189" s="901"/>
      <c r="K189" s="887"/>
      <c r="L189" s="902"/>
      <c r="M189" s="903">
        <f t="shared" ref="M189" si="131">L189</f>
        <v>0</v>
      </c>
      <c r="N189" s="896" t="s">
        <v>432</v>
      </c>
      <c r="O189" s="904" t="s">
        <v>433</v>
      </c>
      <c r="P189" s="904" t="s">
        <v>129</v>
      </c>
      <c r="Q189" s="905" t="s">
        <v>48</v>
      </c>
      <c r="R189" s="839"/>
      <c r="S189" s="895"/>
      <c r="T189" s="906"/>
      <c r="U189" s="907"/>
      <c r="V189" s="908"/>
      <c r="W189" s="841">
        <f t="shared" si="123"/>
        <v>0</v>
      </c>
      <c r="X189" s="842">
        <f t="shared" si="112"/>
        <v>0</v>
      </c>
      <c r="Y189" s="843">
        <f t="shared" si="113"/>
        <v>0</v>
      </c>
      <c r="Z189" s="909"/>
      <c r="AA189" s="845">
        <f t="shared" si="124"/>
        <v>0</v>
      </c>
      <c r="AB189" s="846" t="str">
        <f t="shared" si="114"/>
        <v>COMPLETED</v>
      </c>
      <c r="AC189" s="878"/>
      <c r="AD189" s="848"/>
      <c r="AE189" s="849">
        <f t="shared" si="127"/>
        <v>0</v>
      </c>
      <c r="AF189" s="863"/>
      <c r="AG189" s="850">
        <f t="shared" si="128"/>
        <v>0</v>
      </c>
      <c r="AH189" s="851">
        <f t="shared" si="129"/>
        <v>0</v>
      </c>
      <c r="AI189" s="863"/>
    </row>
    <row r="190" spans="1:35" s="852" customFormat="1" ht="56" hidden="1" customHeight="1" x14ac:dyDescent="0.25">
      <c r="A190" s="918"/>
      <c r="B190" s="919"/>
      <c r="C190" s="825" t="str">
        <f t="shared" si="115"/>
        <v>26/1/</v>
      </c>
      <c r="D190" s="826" t="s">
        <v>334</v>
      </c>
      <c r="E190" s="828"/>
      <c r="F190" s="828"/>
      <c r="G190" s="829"/>
      <c r="H190" s="910"/>
      <c r="I190" s="911"/>
      <c r="J190" s="911"/>
      <c r="K190" s="863"/>
      <c r="L190" s="877"/>
      <c r="M190" s="835">
        <f t="shared" ref="M190:M205" si="132">L190</f>
        <v>0</v>
      </c>
      <c r="N190" s="912" t="s">
        <v>130</v>
      </c>
      <c r="O190" s="868" t="s">
        <v>427</v>
      </c>
      <c r="P190" s="868" t="s">
        <v>82</v>
      </c>
      <c r="Q190" s="892" t="s">
        <v>77</v>
      </c>
      <c r="R190" s="913"/>
      <c r="S190" s="864"/>
      <c r="T190" s="906"/>
      <c r="U190" s="907"/>
      <c r="V190" s="908"/>
      <c r="W190" s="841">
        <f t="shared" si="123"/>
        <v>0</v>
      </c>
      <c r="X190" s="842">
        <f t="shared" si="112"/>
        <v>0</v>
      </c>
      <c r="Y190" s="843">
        <f t="shared" si="113"/>
        <v>0</v>
      </c>
      <c r="Z190" s="909"/>
      <c r="AA190" s="845">
        <f t="shared" si="124"/>
        <v>0</v>
      </c>
      <c r="AB190" s="846" t="str">
        <f t="shared" si="114"/>
        <v>COMPLETED</v>
      </c>
      <c r="AC190" s="878"/>
      <c r="AD190" s="848"/>
      <c r="AE190" s="849">
        <f t="shared" si="127"/>
        <v>0</v>
      </c>
      <c r="AF190" s="863"/>
      <c r="AG190" s="850">
        <f t="shared" si="128"/>
        <v>0</v>
      </c>
      <c r="AH190" s="851">
        <f t="shared" si="129"/>
        <v>0</v>
      </c>
      <c r="AI190" s="863"/>
    </row>
    <row r="191" spans="1:35" s="852" customFormat="1" ht="56" hidden="1" customHeight="1" x14ac:dyDescent="0.25">
      <c r="A191" s="918"/>
      <c r="B191" s="919"/>
      <c r="C191" s="825" t="str">
        <f t="shared" si="115"/>
        <v>26/1/</v>
      </c>
      <c r="D191" s="826" t="s">
        <v>335</v>
      </c>
      <c r="E191" s="828"/>
      <c r="F191" s="828"/>
      <c r="G191" s="829"/>
      <c r="H191" s="910"/>
      <c r="I191" s="911"/>
      <c r="J191" s="911"/>
      <c r="K191" s="863"/>
      <c r="L191" s="877"/>
      <c r="M191" s="835">
        <f t="shared" ref="M191" si="133">L191</f>
        <v>0</v>
      </c>
      <c r="N191" s="860" t="s">
        <v>373</v>
      </c>
      <c r="O191" s="890" t="s">
        <v>376</v>
      </c>
      <c r="P191" s="890" t="s">
        <v>118</v>
      </c>
      <c r="Q191" s="891" t="s">
        <v>71</v>
      </c>
      <c r="R191" s="913"/>
      <c r="S191" s="840"/>
      <c r="T191" s="906"/>
      <c r="U191" s="907"/>
      <c r="V191" s="908"/>
      <c r="W191" s="841">
        <f t="shared" si="123"/>
        <v>0</v>
      </c>
      <c r="X191" s="842">
        <f t="shared" si="112"/>
        <v>0</v>
      </c>
      <c r="Y191" s="843">
        <f t="shared" si="113"/>
        <v>0</v>
      </c>
      <c r="Z191" s="909"/>
      <c r="AA191" s="845">
        <f t="shared" si="124"/>
        <v>0</v>
      </c>
      <c r="AB191" s="846" t="str">
        <f t="shared" si="114"/>
        <v>COMPLETED</v>
      </c>
      <c r="AC191" s="878"/>
      <c r="AD191" s="848"/>
      <c r="AE191" s="849">
        <f t="shared" si="127"/>
        <v>0</v>
      </c>
      <c r="AF191" s="863"/>
      <c r="AG191" s="850">
        <f t="shared" si="128"/>
        <v>0</v>
      </c>
      <c r="AH191" s="851">
        <f t="shared" si="129"/>
        <v>0</v>
      </c>
      <c r="AI191" s="863"/>
    </row>
    <row r="192" spans="1:35" s="852" customFormat="1" ht="56" hidden="1" customHeight="1" x14ac:dyDescent="0.25">
      <c r="A192" s="918"/>
      <c r="B192" s="919"/>
      <c r="C192" s="825" t="str">
        <f t="shared" si="115"/>
        <v>26/1/</v>
      </c>
      <c r="D192" s="826" t="s">
        <v>336</v>
      </c>
      <c r="E192" s="828"/>
      <c r="F192" s="828"/>
      <c r="G192" s="829"/>
      <c r="H192" s="910"/>
      <c r="I192" s="911"/>
      <c r="J192" s="911"/>
      <c r="K192" s="863"/>
      <c r="L192" s="877"/>
      <c r="M192" s="835">
        <f t="shared" si="132"/>
        <v>0</v>
      </c>
      <c r="N192" s="860" t="s">
        <v>373</v>
      </c>
      <c r="O192" s="890" t="s">
        <v>377</v>
      </c>
      <c r="P192" s="890" t="s">
        <v>118</v>
      </c>
      <c r="Q192" s="891" t="s">
        <v>71</v>
      </c>
      <c r="R192" s="913"/>
      <c r="S192" s="840"/>
      <c r="T192" s="906"/>
      <c r="U192" s="907"/>
      <c r="V192" s="908"/>
      <c r="W192" s="841">
        <f t="shared" si="123"/>
        <v>0</v>
      </c>
      <c r="X192" s="842">
        <f t="shared" si="112"/>
        <v>0</v>
      </c>
      <c r="Y192" s="843">
        <f t="shared" si="113"/>
        <v>0</v>
      </c>
      <c r="Z192" s="909"/>
      <c r="AA192" s="845">
        <f t="shared" si="124"/>
        <v>0</v>
      </c>
      <c r="AB192" s="846" t="str">
        <f t="shared" si="114"/>
        <v>COMPLETED</v>
      </c>
      <c r="AC192" s="878"/>
      <c r="AD192" s="848"/>
      <c r="AE192" s="849">
        <f t="shared" si="127"/>
        <v>0</v>
      </c>
      <c r="AF192" s="863"/>
      <c r="AG192" s="850">
        <f t="shared" si="128"/>
        <v>0</v>
      </c>
      <c r="AH192" s="851">
        <f t="shared" si="129"/>
        <v>0</v>
      </c>
      <c r="AI192" s="863"/>
    </row>
    <row r="193" spans="1:35" s="852" customFormat="1" ht="56" hidden="1" customHeight="1" x14ac:dyDescent="0.25">
      <c r="A193" s="918"/>
      <c r="B193" s="919"/>
      <c r="C193" s="825" t="str">
        <f t="shared" si="115"/>
        <v>26/1/</v>
      </c>
      <c r="D193" s="826" t="s">
        <v>337</v>
      </c>
      <c r="E193" s="828"/>
      <c r="F193" s="828"/>
      <c r="G193" s="829"/>
      <c r="H193" s="910"/>
      <c r="I193" s="911"/>
      <c r="J193" s="911"/>
      <c r="K193" s="863"/>
      <c r="L193" s="877"/>
      <c r="M193" s="835">
        <f t="shared" si="132"/>
        <v>0</v>
      </c>
      <c r="N193" s="860" t="s">
        <v>373</v>
      </c>
      <c r="O193" s="890" t="s">
        <v>378</v>
      </c>
      <c r="P193" s="890" t="s">
        <v>118</v>
      </c>
      <c r="Q193" s="891" t="s">
        <v>71</v>
      </c>
      <c r="R193" s="913"/>
      <c r="S193" s="840"/>
      <c r="T193" s="914"/>
      <c r="U193" s="915"/>
      <c r="V193" s="908"/>
      <c r="W193" s="841">
        <f t="shared" si="123"/>
        <v>0</v>
      </c>
      <c r="X193" s="842">
        <f t="shared" si="112"/>
        <v>0</v>
      </c>
      <c r="Y193" s="843">
        <f t="shared" si="113"/>
        <v>0</v>
      </c>
      <c r="Z193" s="909"/>
      <c r="AA193" s="845">
        <f t="shared" si="124"/>
        <v>0</v>
      </c>
      <c r="AB193" s="846" t="str">
        <f t="shared" si="114"/>
        <v>COMPLETED</v>
      </c>
      <c r="AC193" s="878"/>
      <c r="AD193" s="848"/>
      <c r="AE193" s="849">
        <f t="shared" si="127"/>
        <v>0</v>
      </c>
      <c r="AF193" s="863"/>
      <c r="AG193" s="850">
        <f t="shared" si="128"/>
        <v>0</v>
      </c>
      <c r="AH193" s="851">
        <f t="shared" si="129"/>
        <v>0</v>
      </c>
      <c r="AI193" s="863"/>
    </row>
    <row r="194" spans="1:35" s="852" customFormat="1" ht="56" hidden="1" customHeight="1" x14ac:dyDescent="0.25">
      <c r="A194" s="918"/>
      <c r="B194" s="919"/>
      <c r="C194" s="825" t="str">
        <f t="shared" si="115"/>
        <v>26/1/</v>
      </c>
      <c r="D194" s="826" t="s">
        <v>338</v>
      </c>
      <c r="E194" s="828"/>
      <c r="F194" s="828"/>
      <c r="G194" s="829"/>
      <c r="H194" s="910"/>
      <c r="I194" s="911"/>
      <c r="J194" s="911"/>
      <c r="K194" s="863"/>
      <c r="L194" s="877"/>
      <c r="M194" s="835">
        <f t="shared" ref="M194" si="134">L194</f>
        <v>0</v>
      </c>
      <c r="N194" s="860" t="s">
        <v>373</v>
      </c>
      <c r="O194" s="890" t="s">
        <v>375</v>
      </c>
      <c r="P194" s="890" t="s">
        <v>118</v>
      </c>
      <c r="Q194" s="891" t="s">
        <v>71</v>
      </c>
      <c r="R194" s="913"/>
      <c r="S194" s="840"/>
      <c r="T194" s="914"/>
      <c r="U194" s="915"/>
      <c r="V194" s="908"/>
      <c r="W194" s="841">
        <f t="shared" si="123"/>
        <v>0</v>
      </c>
      <c r="X194" s="842">
        <f t="shared" si="112"/>
        <v>0</v>
      </c>
      <c r="Y194" s="843">
        <f t="shared" si="113"/>
        <v>0</v>
      </c>
      <c r="Z194" s="909"/>
      <c r="AA194" s="845">
        <f t="shared" si="124"/>
        <v>0</v>
      </c>
      <c r="AB194" s="846" t="str">
        <f t="shared" si="114"/>
        <v>COMPLETED</v>
      </c>
      <c r="AC194" s="878"/>
      <c r="AD194" s="848"/>
      <c r="AE194" s="849">
        <f t="shared" si="127"/>
        <v>0</v>
      </c>
      <c r="AF194" s="863"/>
      <c r="AG194" s="850">
        <f t="shared" si="128"/>
        <v>0</v>
      </c>
      <c r="AH194" s="851">
        <f t="shared" si="129"/>
        <v>0</v>
      </c>
      <c r="AI194" s="863"/>
    </row>
    <row r="195" spans="1:35" s="852" customFormat="1" ht="56" hidden="1" customHeight="1" x14ac:dyDescent="0.25">
      <c r="A195" s="918"/>
      <c r="B195" s="919"/>
      <c r="C195" s="825" t="str">
        <f t="shared" si="115"/>
        <v>26/1/</v>
      </c>
      <c r="D195" s="826" t="s">
        <v>339</v>
      </c>
      <c r="E195" s="828"/>
      <c r="F195" s="828"/>
      <c r="G195" s="829"/>
      <c r="H195" s="910"/>
      <c r="I195" s="911"/>
      <c r="J195" s="911"/>
      <c r="K195" s="863"/>
      <c r="L195" s="877"/>
      <c r="M195" s="835">
        <f t="shared" si="132"/>
        <v>0</v>
      </c>
      <c r="N195" s="860" t="s">
        <v>373</v>
      </c>
      <c r="O195" s="890" t="s">
        <v>379</v>
      </c>
      <c r="P195" s="890" t="s">
        <v>118</v>
      </c>
      <c r="Q195" s="891" t="s">
        <v>71</v>
      </c>
      <c r="R195" s="839"/>
      <c r="S195" s="840"/>
      <c r="T195" s="914"/>
      <c r="U195" s="915"/>
      <c r="V195" s="908"/>
      <c r="W195" s="841">
        <f t="shared" si="123"/>
        <v>0</v>
      </c>
      <c r="X195" s="842">
        <f t="shared" si="112"/>
        <v>0</v>
      </c>
      <c r="Y195" s="843">
        <f t="shared" si="113"/>
        <v>0</v>
      </c>
      <c r="Z195" s="909"/>
      <c r="AA195" s="845">
        <f t="shared" si="124"/>
        <v>0</v>
      </c>
      <c r="AB195" s="846" t="str">
        <f t="shared" si="114"/>
        <v>COMPLETED</v>
      </c>
      <c r="AC195" s="878"/>
      <c r="AD195" s="848"/>
      <c r="AE195" s="849">
        <f t="shared" si="127"/>
        <v>0</v>
      </c>
      <c r="AF195" s="863"/>
      <c r="AG195" s="850">
        <f t="shared" si="128"/>
        <v>0</v>
      </c>
      <c r="AH195" s="851">
        <f t="shared" si="129"/>
        <v>0</v>
      </c>
      <c r="AI195" s="863"/>
    </row>
    <row r="196" spans="1:35" s="852" customFormat="1" ht="56" hidden="1" customHeight="1" x14ac:dyDescent="0.25">
      <c r="A196" s="918"/>
      <c r="B196" s="919"/>
      <c r="C196" s="825" t="str">
        <f t="shared" si="115"/>
        <v>26/1/</v>
      </c>
      <c r="D196" s="826" t="s">
        <v>340</v>
      </c>
      <c r="E196" s="828"/>
      <c r="F196" s="828"/>
      <c r="G196" s="829"/>
      <c r="H196" s="910"/>
      <c r="I196" s="911"/>
      <c r="J196" s="911"/>
      <c r="K196" s="863"/>
      <c r="L196" s="877"/>
      <c r="M196" s="835">
        <f t="shared" si="132"/>
        <v>0</v>
      </c>
      <c r="N196" s="860" t="s">
        <v>373</v>
      </c>
      <c r="O196" s="890" t="s">
        <v>376</v>
      </c>
      <c r="P196" s="890" t="s">
        <v>118</v>
      </c>
      <c r="Q196" s="891" t="s">
        <v>71</v>
      </c>
      <c r="R196" s="839"/>
      <c r="S196" s="840"/>
      <c r="T196" s="914"/>
      <c r="U196" s="915"/>
      <c r="V196" s="908"/>
      <c r="W196" s="841">
        <f t="shared" si="123"/>
        <v>0</v>
      </c>
      <c r="X196" s="842">
        <f t="shared" si="112"/>
        <v>0</v>
      </c>
      <c r="Y196" s="843">
        <f t="shared" si="113"/>
        <v>0</v>
      </c>
      <c r="Z196" s="909"/>
      <c r="AA196" s="845">
        <f t="shared" si="124"/>
        <v>0</v>
      </c>
      <c r="AB196" s="846" t="str">
        <f t="shared" si="114"/>
        <v>COMPLETED</v>
      </c>
      <c r="AC196" s="878"/>
      <c r="AD196" s="848"/>
      <c r="AE196" s="849">
        <f t="shared" si="127"/>
        <v>0</v>
      </c>
      <c r="AF196" s="863"/>
      <c r="AG196" s="850">
        <f t="shared" si="128"/>
        <v>0</v>
      </c>
      <c r="AH196" s="851">
        <f t="shared" si="129"/>
        <v>0</v>
      </c>
      <c r="AI196" s="863"/>
    </row>
    <row r="197" spans="1:35" s="852" customFormat="1" ht="56" hidden="1" customHeight="1" x14ac:dyDescent="0.25">
      <c r="A197" s="918"/>
      <c r="B197" s="919"/>
      <c r="C197" s="825" t="str">
        <f t="shared" si="115"/>
        <v>26/1/</v>
      </c>
      <c r="D197" s="826" t="s">
        <v>341</v>
      </c>
      <c r="E197" s="828"/>
      <c r="F197" s="828"/>
      <c r="G197" s="829"/>
      <c r="H197" s="910"/>
      <c r="I197" s="911"/>
      <c r="J197" s="911"/>
      <c r="K197" s="863"/>
      <c r="L197" s="877"/>
      <c r="M197" s="835">
        <f t="shared" si="132"/>
        <v>0</v>
      </c>
      <c r="N197" s="860" t="s">
        <v>373</v>
      </c>
      <c r="O197" s="890" t="s">
        <v>374</v>
      </c>
      <c r="P197" s="890" t="s">
        <v>45</v>
      </c>
      <c r="Q197" s="891" t="s">
        <v>65</v>
      </c>
      <c r="R197" s="839"/>
      <c r="S197" s="840"/>
      <c r="T197" s="914"/>
      <c r="U197" s="915"/>
      <c r="V197" s="908"/>
      <c r="W197" s="841">
        <f t="shared" si="123"/>
        <v>0</v>
      </c>
      <c r="X197" s="842">
        <f t="shared" si="112"/>
        <v>0</v>
      </c>
      <c r="Y197" s="843">
        <f t="shared" si="113"/>
        <v>0</v>
      </c>
      <c r="Z197" s="909"/>
      <c r="AA197" s="845">
        <f t="shared" si="124"/>
        <v>0</v>
      </c>
      <c r="AB197" s="846" t="str">
        <f t="shared" si="114"/>
        <v>COMPLETED</v>
      </c>
      <c r="AC197" s="878"/>
      <c r="AD197" s="848"/>
      <c r="AE197" s="849">
        <f t="shared" si="127"/>
        <v>0</v>
      </c>
      <c r="AF197" s="863"/>
      <c r="AG197" s="850">
        <f t="shared" si="128"/>
        <v>0</v>
      </c>
      <c r="AH197" s="851">
        <f t="shared" si="129"/>
        <v>0</v>
      </c>
      <c r="AI197" s="863"/>
    </row>
    <row r="198" spans="1:35" s="852" customFormat="1" ht="56" hidden="1" customHeight="1" x14ac:dyDescent="0.25">
      <c r="A198" s="918"/>
      <c r="B198" s="919"/>
      <c r="C198" s="825" t="str">
        <f t="shared" si="115"/>
        <v>26/1/</v>
      </c>
      <c r="D198" s="826" t="s">
        <v>342</v>
      </c>
      <c r="E198" s="828"/>
      <c r="F198" s="828"/>
      <c r="G198" s="829"/>
      <c r="H198" s="910"/>
      <c r="I198" s="911"/>
      <c r="J198" s="911"/>
      <c r="K198" s="863"/>
      <c r="L198" s="877"/>
      <c r="M198" s="835">
        <f t="shared" si="132"/>
        <v>0</v>
      </c>
      <c r="N198" s="860" t="s">
        <v>371</v>
      </c>
      <c r="O198" s="890" t="s">
        <v>372</v>
      </c>
      <c r="P198" s="890" t="s">
        <v>49</v>
      </c>
      <c r="Q198" s="891" t="s">
        <v>77</v>
      </c>
      <c r="R198" s="839"/>
      <c r="S198" s="840"/>
      <c r="T198" s="914"/>
      <c r="U198" s="915"/>
      <c r="V198" s="908"/>
      <c r="W198" s="841">
        <f t="shared" si="123"/>
        <v>0</v>
      </c>
      <c r="X198" s="842">
        <f t="shared" si="112"/>
        <v>0</v>
      </c>
      <c r="Y198" s="843">
        <f t="shared" si="113"/>
        <v>0</v>
      </c>
      <c r="Z198" s="909"/>
      <c r="AA198" s="845">
        <f t="shared" si="124"/>
        <v>0</v>
      </c>
      <c r="AB198" s="846" t="str">
        <f t="shared" si="114"/>
        <v>COMPLETED</v>
      </c>
      <c r="AC198" s="878"/>
      <c r="AD198" s="848"/>
      <c r="AE198" s="849">
        <f t="shared" si="127"/>
        <v>0</v>
      </c>
      <c r="AF198" s="863"/>
      <c r="AG198" s="850">
        <f t="shared" si="128"/>
        <v>0</v>
      </c>
      <c r="AH198" s="851">
        <f t="shared" si="129"/>
        <v>0</v>
      </c>
      <c r="AI198" s="863"/>
    </row>
    <row r="199" spans="1:35" s="852" customFormat="1" ht="56" hidden="1" customHeight="1" x14ac:dyDescent="0.25">
      <c r="A199" s="918"/>
      <c r="B199" s="919"/>
      <c r="C199" s="825" t="str">
        <f t="shared" si="115"/>
        <v>26/1/</v>
      </c>
      <c r="D199" s="826" t="s">
        <v>343</v>
      </c>
      <c r="E199" s="828"/>
      <c r="F199" s="828"/>
      <c r="G199" s="829"/>
      <c r="H199" s="910"/>
      <c r="I199" s="911"/>
      <c r="J199" s="911"/>
      <c r="K199" s="863"/>
      <c r="L199" s="877"/>
      <c r="M199" s="835">
        <f t="shared" si="132"/>
        <v>0</v>
      </c>
      <c r="N199" s="860" t="s">
        <v>369</v>
      </c>
      <c r="O199" s="890" t="s">
        <v>370</v>
      </c>
      <c r="P199" s="890" t="s">
        <v>68</v>
      </c>
      <c r="Q199" s="891" t="s">
        <v>65</v>
      </c>
      <c r="R199" s="839"/>
      <c r="S199" s="840"/>
      <c r="T199" s="914"/>
      <c r="U199" s="915"/>
      <c r="V199" s="908"/>
      <c r="W199" s="841">
        <f t="shared" si="123"/>
        <v>0</v>
      </c>
      <c r="X199" s="842">
        <f t="shared" si="112"/>
        <v>0</v>
      </c>
      <c r="Y199" s="843">
        <f t="shared" si="113"/>
        <v>0</v>
      </c>
      <c r="Z199" s="909"/>
      <c r="AA199" s="845">
        <f t="shared" si="124"/>
        <v>0</v>
      </c>
      <c r="AB199" s="846" t="str">
        <f t="shared" si="114"/>
        <v>COMPLETED</v>
      </c>
      <c r="AC199" s="878"/>
      <c r="AD199" s="848"/>
      <c r="AE199" s="849">
        <f t="shared" si="127"/>
        <v>0</v>
      </c>
      <c r="AF199" s="863"/>
      <c r="AG199" s="850">
        <f t="shared" si="128"/>
        <v>0</v>
      </c>
      <c r="AH199" s="851">
        <f t="shared" si="129"/>
        <v>0</v>
      </c>
      <c r="AI199" s="863"/>
    </row>
    <row r="200" spans="1:35" s="852" customFormat="1" ht="56" hidden="1" customHeight="1" x14ac:dyDescent="0.25">
      <c r="A200" s="918"/>
      <c r="B200" s="919"/>
      <c r="C200" s="825" t="str">
        <f t="shared" si="115"/>
        <v>26/1/</v>
      </c>
      <c r="D200" s="826" t="s">
        <v>344</v>
      </c>
      <c r="E200" s="827"/>
      <c r="F200" s="827"/>
      <c r="G200" s="885"/>
      <c r="H200" s="910"/>
      <c r="I200" s="911"/>
      <c r="J200" s="911"/>
      <c r="K200" s="863"/>
      <c r="L200" s="877"/>
      <c r="M200" s="835">
        <f t="shared" si="132"/>
        <v>0</v>
      </c>
      <c r="N200" s="860" t="s">
        <v>366</v>
      </c>
      <c r="O200" s="890" t="s">
        <v>368</v>
      </c>
      <c r="P200" s="890" t="s">
        <v>60</v>
      </c>
      <c r="Q200" s="891" t="s">
        <v>115</v>
      </c>
      <c r="R200" s="839"/>
      <c r="S200" s="840"/>
      <c r="T200" s="914"/>
      <c r="U200" s="915"/>
      <c r="V200" s="908"/>
      <c r="W200" s="841">
        <f t="shared" si="123"/>
        <v>0</v>
      </c>
      <c r="X200" s="842">
        <f t="shared" si="112"/>
        <v>0</v>
      </c>
      <c r="Y200" s="843">
        <f t="shared" si="113"/>
        <v>0</v>
      </c>
      <c r="Z200" s="909"/>
      <c r="AA200" s="845">
        <f t="shared" si="124"/>
        <v>0</v>
      </c>
      <c r="AB200" s="846" t="str">
        <f t="shared" si="114"/>
        <v>COMPLETED</v>
      </c>
      <c r="AC200" s="878"/>
      <c r="AD200" s="848"/>
      <c r="AE200" s="849">
        <f t="shared" si="127"/>
        <v>0</v>
      </c>
      <c r="AF200" s="863"/>
      <c r="AG200" s="850">
        <f t="shared" si="128"/>
        <v>0</v>
      </c>
      <c r="AH200" s="851">
        <f t="shared" si="129"/>
        <v>0</v>
      </c>
      <c r="AI200" s="863"/>
    </row>
    <row r="201" spans="1:35" s="852" customFormat="1" ht="56" hidden="1" customHeight="1" x14ac:dyDescent="0.25">
      <c r="A201" s="918"/>
      <c r="B201" s="919"/>
      <c r="C201" s="825" t="str">
        <f t="shared" si="115"/>
        <v>26/1/</v>
      </c>
      <c r="D201" s="826" t="s">
        <v>345</v>
      </c>
      <c r="E201" s="827"/>
      <c r="F201" s="827"/>
      <c r="G201" s="885"/>
      <c r="H201" s="910"/>
      <c r="I201" s="911"/>
      <c r="J201" s="911"/>
      <c r="K201" s="863"/>
      <c r="L201" s="877"/>
      <c r="M201" s="835">
        <f t="shared" si="132"/>
        <v>0</v>
      </c>
      <c r="N201" s="860" t="s">
        <v>366</v>
      </c>
      <c r="O201" s="890" t="s">
        <v>367</v>
      </c>
      <c r="P201" s="890" t="s">
        <v>60</v>
      </c>
      <c r="Q201" s="891" t="s">
        <v>115</v>
      </c>
      <c r="R201" s="839"/>
      <c r="S201" s="840"/>
      <c r="T201" s="914"/>
      <c r="U201" s="915"/>
      <c r="V201" s="908"/>
      <c r="W201" s="841">
        <f t="shared" si="123"/>
        <v>0</v>
      </c>
      <c r="X201" s="842">
        <f t="shared" ref="X201:X205" si="135">T201+U201</f>
        <v>0</v>
      </c>
      <c r="Y201" s="843">
        <f t="shared" ref="Y201:Y205" si="136">S201-X201</f>
        <v>0</v>
      </c>
      <c r="Z201" s="909"/>
      <c r="AA201" s="845">
        <f t="shared" si="124"/>
        <v>0</v>
      </c>
      <c r="AB201" s="846" t="str">
        <f t="shared" ref="AB201:AB205" si="137">IF(Y201&gt;0,"PENDING EXECUTION","COMPLETED")</f>
        <v>COMPLETED</v>
      </c>
      <c r="AC201" s="878"/>
      <c r="AD201" s="848"/>
      <c r="AE201" s="849">
        <f t="shared" si="127"/>
        <v>0</v>
      </c>
      <c r="AF201" s="863"/>
      <c r="AG201" s="850">
        <f t="shared" si="128"/>
        <v>0</v>
      </c>
      <c r="AH201" s="851">
        <f t="shared" si="129"/>
        <v>0</v>
      </c>
      <c r="AI201" s="863"/>
    </row>
    <row r="202" spans="1:35" s="852" customFormat="1" ht="56" hidden="1" customHeight="1" x14ac:dyDescent="0.25">
      <c r="A202" s="918"/>
      <c r="B202" s="919"/>
      <c r="C202" s="825" t="str">
        <f t="shared" ref="C202:C205" si="138">IF(A201=0,$C$4,"-")</f>
        <v>26/1/</v>
      </c>
      <c r="D202" s="826" t="s">
        <v>346</v>
      </c>
      <c r="E202" s="828"/>
      <c r="F202" s="828"/>
      <c r="G202" s="829"/>
      <c r="H202" s="910"/>
      <c r="I202" s="911"/>
      <c r="J202" s="911"/>
      <c r="K202" s="863"/>
      <c r="L202" s="877"/>
      <c r="M202" s="835">
        <f t="shared" si="132"/>
        <v>0</v>
      </c>
      <c r="N202" s="860"/>
      <c r="O202" s="890"/>
      <c r="P202" s="890"/>
      <c r="Q202" s="891"/>
      <c r="R202" s="839"/>
      <c r="S202" s="840"/>
      <c r="T202" s="914"/>
      <c r="U202" s="915"/>
      <c r="V202" s="908"/>
      <c r="W202" s="841">
        <f t="shared" si="123"/>
        <v>0</v>
      </c>
      <c r="X202" s="842">
        <f t="shared" si="135"/>
        <v>0</v>
      </c>
      <c r="Y202" s="843">
        <f t="shared" si="136"/>
        <v>0</v>
      </c>
      <c r="Z202" s="909"/>
      <c r="AA202" s="845">
        <f t="shared" si="124"/>
        <v>0</v>
      </c>
      <c r="AB202" s="846" t="str">
        <f t="shared" si="137"/>
        <v>COMPLETED</v>
      </c>
      <c r="AC202" s="878"/>
      <c r="AD202" s="848"/>
      <c r="AE202" s="849">
        <f t="shared" si="127"/>
        <v>0</v>
      </c>
      <c r="AF202" s="863"/>
      <c r="AG202" s="850">
        <f t="shared" si="128"/>
        <v>0</v>
      </c>
      <c r="AH202" s="851">
        <f t="shared" si="129"/>
        <v>0</v>
      </c>
      <c r="AI202" s="863"/>
    </row>
    <row r="203" spans="1:35" s="852" customFormat="1" ht="56" hidden="1" customHeight="1" x14ac:dyDescent="0.25">
      <c r="A203" s="918"/>
      <c r="B203" s="919"/>
      <c r="C203" s="825" t="str">
        <f t="shared" si="138"/>
        <v>26/1/</v>
      </c>
      <c r="D203" s="826" t="s">
        <v>347</v>
      </c>
      <c r="E203" s="828"/>
      <c r="F203" s="828"/>
      <c r="G203" s="829"/>
      <c r="H203" s="910"/>
      <c r="I203" s="911"/>
      <c r="J203" s="911"/>
      <c r="K203" s="863"/>
      <c r="L203" s="877"/>
      <c r="M203" s="835">
        <f t="shared" ref="M203" si="139">L203</f>
        <v>0</v>
      </c>
      <c r="N203" s="860" t="s">
        <v>132</v>
      </c>
      <c r="O203" s="890" t="s">
        <v>365</v>
      </c>
      <c r="P203" s="890" t="s">
        <v>91</v>
      </c>
      <c r="Q203" s="891" t="s">
        <v>90</v>
      </c>
      <c r="R203" s="839"/>
      <c r="S203" s="840"/>
      <c r="T203" s="914"/>
      <c r="U203" s="915"/>
      <c r="V203" s="908"/>
      <c r="W203" s="841">
        <f t="shared" ref="W203:W205" si="140">V203</f>
        <v>0</v>
      </c>
      <c r="X203" s="842">
        <f t="shared" si="135"/>
        <v>0</v>
      </c>
      <c r="Y203" s="843">
        <f t="shared" si="136"/>
        <v>0</v>
      </c>
      <c r="Z203" s="909"/>
      <c r="AA203" s="845">
        <f t="shared" si="124"/>
        <v>0</v>
      </c>
      <c r="AB203" s="846" t="str">
        <f t="shared" si="137"/>
        <v>COMPLETED</v>
      </c>
      <c r="AC203" s="878"/>
      <c r="AD203" s="848"/>
      <c r="AE203" s="849">
        <f t="shared" si="127"/>
        <v>0</v>
      </c>
      <c r="AF203" s="863"/>
      <c r="AG203" s="850">
        <f t="shared" si="128"/>
        <v>0</v>
      </c>
      <c r="AH203" s="851">
        <f t="shared" si="129"/>
        <v>0</v>
      </c>
      <c r="AI203" s="863"/>
    </row>
    <row r="204" spans="1:35" s="852" customFormat="1" ht="56" hidden="1" customHeight="1" x14ac:dyDescent="0.25">
      <c r="A204" s="918"/>
      <c r="B204" s="919"/>
      <c r="C204" s="825" t="str">
        <f t="shared" si="138"/>
        <v>26/1/</v>
      </c>
      <c r="D204" s="826" t="s">
        <v>348</v>
      </c>
      <c r="E204" s="828"/>
      <c r="F204" s="828"/>
      <c r="G204" s="829"/>
      <c r="H204" s="910"/>
      <c r="I204" s="911"/>
      <c r="J204" s="911"/>
      <c r="K204" s="863"/>
      <c r="L204" s="877"/>
      <c r="M204" s="835">
        <f t="shared" si="132"/>
        <v>0</v>
      </c>
      <c r="N204" s="860" t="s">
        <v>132</v>
      </c>
      <c r="O204" s="890" t="s">
        <v>364</v>
      </c>
      <c r="P204" s="890" t="s">
        <v>91</v>
      </c>
      <c r="Q204" s="891" t="s">
        <v>90</v>
      </c>
      <c r="R204" s="839"/>
      <c r="S204" s="840"/>
      <c r="T204" s="914"/>
      <c r="U204" s="915"/>
      <c r="V204" s="908"/>
      <c r="W204" s="841">
        <f t="shared" si="140"/>
        <v>0</v>
      </c>
      <c r="X204" s="842">
        <f t="shared" si="135"/>
        <v>0</v>
      </c>
      <c r="Y204" s="843">
        <f t="shared" si="136"/>
        <v>0</v>
      </c>
      <c r="Z204" s="909"/>
      <c r="AA204" s="845">
        <f t="shared" si="124"/>
        <v>0</v>
      </c>
      <c r="AB204" s="846" t="str">
        <f t="shared" si="137"/>
        <v>COMPLETED</v>
      </c>
      <c r="AC204" s="878"/>
      <c r="AD204" s="848"/>
      <c r="AE204" s="849">
        <f t="shared" si="127"/>
        <v>0</v>
      </c>
      <c r="AF204" s="863"/>
      <c r="AG204" s="850">
        <f t="shared" si="128"/>
        <v>0</v>
      </c>
      <c r="AH204" s="851">
        <f t="shared" si="129"/>
        <v>0</v>
      </c>
      <c r="AI204" s="863"/>
    </row>
    <row r="205" spans="1:35" s="852" customFormat="1" ht="56" hidden="1" customHeight="1" thickBot="1" x14ac:dyDescent="0.25">
      <c r="A205" s="918"/>
      <c r="B205" s="919"/>
      <c r="C205" s="825" t="str">
        <f t="shared" si="138"/>
        <v>26/1/</v>
      </c>
      <c r="D205" s="826" t="s">
        <v>349</v>
      </c>
      <c r="E205" s="827"/>
      <c r="F205" s="827"/>
      <c r="G205" s="885"/>
      <c r="H205" s="830"/>
      <c r="I205" s="831"/>
      <c r="J205" s="865"/>
      <c r="K205" s="866"/>
      <c r="L205" s="867"/>
      <c r="M205" s="835">
        <f t="shared" si="132"/>
        <v>0</v>
      </c>
      <c r="N205" s="860" t="s">
        <v>352</v>
      </c>
      <c r="O205" s="837" t="s">
        <v>134</v>
      </c>
      <c r="P205" s="837" t="s">
        <v>60</v>
      </c>
      <c r="Q205" s="838" t="s">
        <v>115</v>
      </c>
      <c r="R205" s="839"/>
      <c r="S205" s="840"/>
      <c r="T205" s="906"/>
      <c r="U205" s="907"/>
      <c r="V205" s="876"/>
      <c r="W205" s="841">
        <f t="shared" si="140"/>
        <v>0</v>
      </c>
      <c r="X205" s="842">
        <f t="shared" si="135"/>
        <v>0</v>
      </c>
      <c r="Y205" s="843">
        <f t="shared" si="136"/>
        <v>0</v>
      </c>
      <c r="Z205" s="875"/>
      <c r="AA205" s="845">
        <f t="shared" si="124"/>
        <v>0</v>
      </c>
      <c r="AB205" s="846" t="str">
        <f t="shared" si="137"/>
        <v>COMPLETED</v>
      </c>
      <c r="AC205" s="847"/>
      <c r="AD205" s="848"/>
      <c r="AE205" s="849">
        <f t="shared" si="127"/>
        <v>0</v>
      </c>
      <c r="AF205" s="833"/>
      <c r="AG205" s="850">
        <f t="shared" si="128"/>
        <v>0</v>
      </c>
      <c r="AH205" s="851">
        <f t="shared" si="129"/>
        <v>0</v>
      </c>
      <c r="AI205" s="833"/>
    </row>
    <row r="206" spans="1:35" s="172" customFormat="1" ht="56" hidden="1" customHeight="1" thickBot="1" x14ac:dyDescent="0.3">
      <c r="A206" s="918"/>
      <c r="B206" s="920"/>
      <c r="C206" s="201"/>
      <c r="D206" s="270"/>
      <c r="E206" s="270"/>
      <c r="F206" s="270"/>
      <c r="G206" s="618"/>
      <c r="H206" s="302"/>
      <c r="I206" s="201"/>
      <c r="J206" s="201"/>
      <c r="K206" s="186"/>
      <c r="L206" s="202"/>
      <c r="M206" s="203"/>
      <c r="N206" s="204"/>
      <c r="O206" s="205"/>
      <c r="P206" s="205"/>
      <c r="Q206" s="206"/>
      <c r="R206" s="197"/>
      <c r="S206" s="190">
        <f>SUM(S7:S205)</f>
        <v>100099.43703464911</v>
      </c>
      <c r="T206" s="361">
        <f>SUM(T7:T205)</f>
        <v>41456.167034649057</v>
      </c>
      <c r="U206" s="350">
        <f>SUM(U7:U205)</f>
        <v>41457.020000000004</v>
      </c>
      <c r="V206" s="187"/>
      <c r="W206" s="303"/>
      <c r="X206" s="190">
        <f>SUM(X7:X205)</f>
        <v>82913.187034649105</v>
      </c>
      <c r="Y206" s="190">
        <f>SUM(Y7:Y205)</f>
        <v>17186.25</v>
      </c>
      <c r="Z206" s="188"/>
      <c r="AA206" s="188"/>
      <c r="AB206" s="188"/>
      <c r="AC206" s="189"/>
      <c r="AD206" s="183"/>
      <c r="AE206" s="184">
        <f>SUM(AE7:AE205)</f>
        <v>635.34</v>
      </c>
      <c r="AF206" s="185"/>
      <c r="AG206" s="184">
        <f>SUM(AG7:AG205)</f>
        <v>10602.627034649067</v>
      </c>
      <c r="AH206" s="184">
        <f>SUM(AH7:AH205)</f>
        <v>18463.469999999998</v>
      </c>
      <c r="AI206" s="186"/>
    </row>
    <row r="207" spans="1:35" ht="56" hidden="1" customHeight="1" x14ac:dyDescent="0.2">
      <c r="B207" s="921"/>
      <c r="C207" s="101"/>
      <c r="D207" s="100"/>
      <c r="E207" s="100"/>
      <c r="F207" s="100"/>
      <c r="G207" s="100"/>
      <c r="H207" s="101"/>
      <c r="I207" s="101"/>
      <c r="J207" s="101"/>
      <c r="K207" s="101"/>
      <c r="L207" s="102"/>
      <c r="M207" s="103"/>
      <c r="N207" s="104"/>
      <c r="O207" s="105"/>
      <c r="P207" s="105"/>
      <c r="Q207" s="105"/>
      <c r="R207" s="198"/>
      <c r="S207" s="191"/>
      <c r="T207" s="351"/>
      <c r="U207" s="351"/>
      <c r="V207" s="106"/>
      <c r="W207" s="107"/>
      <c r="X207" s="191"/>
      <c r="Y207" s="191"/>
      <c r="Z207" s="20"/>
      <c r="AA207" s="20"/>
      <c r="AB207" s="20"/>
      <c r="AC207" s="104"/>
      <c r="AD207" s="20"/>
      <c r="AE207" s="21"/>
      <c r="AF207" s="22"/>
      <c r="AG207" s="108"/>
      <c r="AH207" s="108"/>
      <c r="AI207" s="109"/>
    </row>
    <row r="208" spans="1:35" ht="56" hidden="1" customHeight="1" x14ac:dyDescent="0.2">
      <c r="AH208" s="564"/>
    </row>
    <row r="209" spans="19:33" ht="56" hidden="1" customHeight="1" x14ac:dyDescent="0.2">
      <c r="Y209" s="193"/>
      <c r="Z209" s="114"/>
      <c r="AA209" s="114"/>
      <c r="AB209" s="114"/>
      <c r="AC209" s="99"/>
      <c r="AD209" s="114"/>
      <c r="AE209" s="115"/>
      <c r="AF209" s="116"/>
    </row>
    <row r="210" spans="19:33" ht="56" hidden="1" customHeight="1" x14ac:dyDescent="0.2">
      <c r="X210" s="194"/>
      <c r="Y210" s="97"/>
      <c r="Z210" s="24"/>
      <c r="AA210" s="24"/>
      <c r="AB210" s="24"/>
      <c r="AC210" s="92"/>
      <c r="AD210" s="24"/>
      <c r="AE210" s="25"/>
      <c r="AF210" s="23"/>
      <c r="AG210" s="117"/>
    </row>
    <row r="211" spans="19:33" ht="56" customHeight="1" x14ac:dyDescent="0.2">
      <c r="X211" s="194"/>
      <c r="Y211" s="97"/>
      <c r="Z211" s="24"/>
      <c r="AA211" s="24"/>
      <c r="AB211" s="24"/>
      <c r="AC211" s="92"/>
      <c r="AD211" s="118"/>
      <c r="AE211" s="25"/>
      <c r="AF211" s="23"/>
      <c r="AG211" s="117"/>
    </row>
    <row r="212" spans="19:33" ht="56" customHeight="1" x14ac:dyDescent="0.2">
      <c r="X212" s="194"/>
      <c r="Y212" s="97"/>
      <c r="Z212" s="24"/>
      <c r="AA212" s="24"/>
      <c r="AB212" s="24"/>
      <c r="AC212" s="92"/>
      <c r="AD212" s="118"/>
      <c r="AE212" s="25"/>
      <c r="AF212" s="23"/>
      <c r="AG212" s="117"/>
    </row>
    <row r="213" spans="19:33" ht="56" customHeight="1" x14ac:dyDescent="0.2">
      <c r="X213" s="194"/>
      <c r="Y213" s="97"/>
      <c r="Z213" s="24"/>
      <c r="AA213" s="24"/>
      <c r="AB213" s="24"/>
      <c r="AC213" s="92"/>
      <c r="AD213" s="118"/>
      <c r="AE213" s="25"/>
      <c r="AF213" s="12"/>
      <c r="AG213" s="117"/>
    </row>
    <row r="214" spans="19:33" ht="56" customHeight="1" x14ac:dyDescent="0.2">
      <c r="X214" s="194"/>
      <c r="Y214" s="97"/>
      <c r="Z214" s="24"/>
      <c r="AA214" s="24"/>
      <c r="AB214" s="24"/>
      <c r="AC214" s="92"/>
      <c r="AD214" s="118"/>
      <c r="AE214" s="25"/>
      <c r="AF214" s="23"/>
      <c r="AG214" s="117"/>
    </row>
    <row r="215" spans="19:33" ht="56" customHeight="1" x14ac:dyDescent="0.2">
      <c r="X215" s="194"/>
      <c r="Y215" s="97"/>
      <c r="Z215" s="24"/>
      <c r="AA215" s="24"/>
      <c r="AB215" s="24"/>
      <c r="AC215" s="92"/>
      <c r="AD215" s="24"/>
      <c r="AE215" s="25"/>
      <c r="AF215" s="23"/>
      <c r="AG215" s="117"/>
    </row>
    <row r="216" spans="19:33" ht="56" customHeight="1" x14ac:dyDescent="0.2">
      <c r="Y216" s="191"/>
      <c r="Z216" s="20"/>
      <c r="AA216" s="20"/>
      <c r="AB216" s="20"/>
      <c r="AC216" s="104"/>
      <c r="AD216" s="20"/>
      <c r="AE216" s="21"/>
      <c r="AF216" s="22"/>
    </row>
    <row r="218" spans="19:33" ht="56" customHeight="1" x14ac:dyDescent="0.2">
      <c r="S218" s="200"/>
      <c r="T218" s="98"/>
      <c r="U218" s="98"/>
    </row>
  </sheetData>
  <autoFilter ref="B6:AI210" xr:uid="{CEB853AD-B3F5-AE43-ADDC-B9684A076FBE}">
    <filterColumn colId="14">
      <filters>
        <filter val="PAYMENTS MADE ON BEHALF OF SH"/>
      </filters>
    </filterColumn>
    <filterColumn colId="15">
      <filters>
        <filter val="PERSONAL EXPENSES OF SHARE HOLDER"/>
      </filters>
    </filterColumn>
    <sortState xmlns:xlrd2="http://schemas.microsoft.com/office/spreadsheetml/2017/richdata2" ref="B7:AI210">
      <sortCondition sortBy="cellColor" ref="E6:E210" dxfId="34"/>
    </sortState>
  </autoFilter>
  <mergeCells count="1">
    <mergeCell ref="AD2:AF4"/>
  </mergeCells>
  <phoneticPr fontId="10" type="noConversion"/>
  <conditionalFormatting sqref="Y5 Y7:Y1048576">
    <cfRule type="cellIs" dxfId="33" priority="205" operator="lessThan">
      <formula>0</formula>
    </cfRule>
    <cfRule type="cellIs" dxfId="32" priority="206" operator="greaterThan">
      <formula>0</formula>
    </cfRule>
  </conditionalFormatting>
  <pageMargins left="0.25" right="0.25" top="0.75" bottom="0.75" header="0.3" footer="0.3"/>
  <pageSetup paperSize="9" scale="31" fitToHeight="8" orientation="landscape" horizontalDpi="0" verticalDpi="0"/>
  <ignoredErrors>
    <ignoredError sqref="AB9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419A-3AFA-E14A-A291-38E84AC4A52B}">
  <sheetPr>
    <pageSetUpPr fitToPage="1"/>
  </sheetPr>
  <dimension ref="A2:K234"/>
  <sheetViews>
    <sheetView workbookViewId="0">
      <selection activeCell="H8" sqref="H8"/>
    </sheetView>
  </sheetViews>
  <sheetFormatPr baseColWidth="10" defaultRowHeight="16" x14ac:dyDescent="0.2"/>
  <cols>
    <col min="1" max="1" width="4.5" style="119" customWidth="1"/>
    <col min="2" max="2" width="56" style="124" customWidth="1"/>
    <col min="3" max="3" width="1" style="119" customWidth="1"/>
    <col min="4" max="4" width="14.5" style="124" customWidth="1"/>
    <col min="5" max="5" width="1.83203125" style="119" customWidth="1"/>
    <col min="6" max="6" width="16.1640625" style="124" customWidth="1"/>
    <col min="7" max="7" width="1.1640625" style="119" customWidth="1"/>
    <col min="8" max="8" width="19.83203125" style="119" customWidth="1"/>
    <col min="9" max="9" width="40.1640625" style="119" customWidth="1"/>
    <col min="10" max="11" width="10.83203125" style="119"/>
    <col min="12" max="16384" width="10.83203125" style="124"/>
  </cols>
  <sheetData>
    <row r="2" spans="2:9" s="119" customFormat="1" ht="43" customHeight="1" x14ac:dyDescent="0.2">
      <c r="B2" s="120" t="s">
        <v>46</v>
      </c>
      <c r="D2" s="996" t="s">
        <v>638</v>
      </c>
    </row>
    <row r="3" spans="2:9" s="119" customFormat="1" x14ac:dyDescent="0.2">
      <c r="B3" s="119" t="s">
        <v>47</v>
      </c>
    </row>
    <row r="4" spans="2:9" s="119" customFormat="1" ht="17" customHeight="1" x14ac:dyDescent="0.2">
      <c r="D4" s="968"/>
      <c r="E4" s="121"/>
      <c r="F4" s="121"/>
      <c r="G4" s="121"/>
    </row>
    <row r="5" spans="2:9" s="119" customFormat="1" ht="17" customHeight="1" x14ac:dyDescent="0.2"/>
    <row r="6" spans="2:9" ht="17" customHeight="1" x14ac:dyDescent="0.2">
      <c r="B6" s="122" t="s">
        <v>48</v>
      </c>
      <c r="C6" s="123"/>
      <c r="D6" s="967">
        <f>SUM(D7:D8)</f>
        <v>31829</v>
      </c>
      <c r="E6" s="121"/>
      <c r="F6" s="121"/>
      <c r="G6" s="121"/>
      <c r="H6" s="121"/>
      <c r="I6" s="121"/>
    </row>
    <row r="7" spans="2:9" ht="17" customHeight="1" x14ac:dyDescent="0.2">
      <c r="B7" s="969" t="s">
        <v>790</v>
      </c>
      <c r="C7" s="126"/>
      <c r="D7" s="966">
        <f>SUMIF('RABONA PAYMENTS'!$P$7:$P$206,B7,'RABONA PAYMENTS'!$X$7:$X$206)</f>
        <v>29900</v>
      </c>
      <c r="E7" s="128"/>
      <c r="F7" s="129"/>
      <c r="G7" s="129"/>
      <c r="H7" s="130"/>
      <c r="I7" s="130"/>
    </row>
    <row r="8" spans="2:9" ht="17" customHeight="1" x14ac:dyDescent="0.2">
      <c r="B8" s="969" t="s">
        <v>791</v>
      </c>
      <c r="C8" s="137"/>
      <c r="D8" s="966">
        <f>SUMIF('RABONA PAYMENTS'!$P$7:$P$206,B8,'RABONA PAYMENTS'!$X$7:$X$206)</f>
        <v>1929</v>
      </c>
      <c r="E8" s="129"/>
      <c r="F8" s="129"/>
      <c r="G8" s="129"/>
      <c r="H8" s="965"/>
      <c r="I8" s="154"/>
    </row>
    <row r="9" spans="2:9" s="119" customFormat="1" ht="17" customHeight="1" x14ac:dyDescent="0.2">
      <c r="B9" s="126"/>
      <c r="C9" s="137"/>
      <c r="D9" s="129"/>
      <c r="E9" s="129"/>
      <c r="F9" s="129"/>
      <c r="G9" s="129"/>
      <c r="H9" s="130"/>
      <c r="I9" s="130"/>
    </row>
    <row r="10" spans="2:9" s="119" customFormat="1" ht="17" customHeight="1" x14ac:dyDescent="0.2">
      <c r="D10" s="131"/>
      <c r="E10" s="131"/>
      <c r="F10" s="136"/>
      <c r="G10" s="136"/>
      <c r="H10" s="130"/>
      <c r="I10" s="130"/>
    </row>
    <row r="11" spans="2:9" ht="17" customHeight="1" x14ac:dyDescent="0.2">
      <c r="B11" s="125" t="s">
        <v>50</v>
      </c>
      <c r="D11" s="127">
        <f>D12+D15</f>
        <v>20102.627034649067</v>
      </c>
      <c r="E11" s="131"/>
      <c r="F11" s="221"/>
      <c r="G11" s="221"/>
      <c r="H11" s="130"/>
      <c r="I11" s="130"/>
    </row>
    <row r="12" spans="2:9" ht="17" customHeight="1" x14ac:dyDescent="0.2">
      <c r="B12" s="975" t="s">
        <v>703</v>
      </c>
      <c r="D12" s="974">
        <f>D14+D13</f>
        <v>20005.197034649067</v>
      </c>
      <c r="E12" s="131"/>
      <c r="F12" s="221"/>
      <c r="G12" s="221"/>
      <c r="H12" s="130"/>
      <c r="I12" s="130"/>
    </row>
    <row r="13" spans="2:9" ht="17" customHeight="1" x14ac:dyDescent="0.2">
      <c r="B13" s="133" t="s">
        <v>354</v>
      </c>
      <c r="D13" s="155">
        <f>SUMIF('RABONA PAYMENTS'!P7:P205,B13,'RABONA PAYMENTS'!S7:S205)</f>
        <v>9500</v>
      </c>
      <c r="E13" s="131"/>
      <c r="F13" s="221"/>
      <c r="G13" s="221"/>
      <c r="H13" s="130"/>
      <c r="I13" s="130"/>
    </row>
    <row r="14" spans="2:9" ht="17" customHeight="1" x14ac:dyDescent="0.2">
      <c r="B14" s="217" t="s">
        <v>355</v>
      </c>
      <c r="D14" s="139">
        <f>H38</f>
        <v>10505.197034649067</v>
      </c>
      <c r="E14" s="131"/>
      <c r="F14" s="221"/>
      <c r="G14" s="221"/>
      <c r="H14" s="130"/>
      <c r="I14" s="130"/>
    </row>
    <row r="15" spans="2:9" ht="17" customHeight="1" x14ac:dyDescent="0.2">
      <c r="B15" s="975" t="s">
        <v>704</v>
      </c>
      <c r="D15" s="974">
        <f>D17+D16</f>
        <v>97.43</v>
      </c>
      <c r="E15" s="131"/>
      <c r="F15" s="221"/>
      <c r="G15" s="221"/>
      <c r="H15" s="130"/>
      <c r="I15" s="130"/>
    </row>
    <row r="16" spans="2:9" ht="17" customHeight="1" x14ac:dyDescent="0.2">
      <c r="B16" s="217" t="s">
        <v>356</v>
      </c>
      <c r="D16" s="155">
        <f>SUMIF('RABONA PAYMENTS'!P7:P205,B16,'RABONA PAYMENTS'!S7:S205)</f>
        <v>0</v>
      </c>
      <c r="E16" s="131"/>
      <c r="F16" s="221"/>
      <c r="G16" s="221"/>
      <c r="H16" s="130"/>
      <c r="I16" s="130"/>
    </row>
    <row r="17" spans="1:11" ht="17" customHeight="1" x14ac:dyDescent="0.2">
      <c r="B17" s="217" t="s">
        <v>357</v>
      </c>
      <c r="D17" s="139">
        <f>H37</f>
        <v>97.43</v>
      </c>
      <c r="E17" s="131"/>
      <c r="F17" s="221"/>
      <c r="G17" s="221"/>
      <c r="H17" s="130"/>
      <c r="I17" s="130"/>
    </row>
    <row r="18" spans="1:11" s="119" customFormat="1" ht="17" customHeight="1" x14ac:dyDescent="0.2">
      <c r="D18" s="131"/>
      <c r="E18" s="131"/>
      <c r="F18" s="143"/>
      <c r="G18" s="143"/>
      <c r="H18" s="130"/>
      <c r="I18" s="130"/>
    </row>
    <row r="19" spans="1:11" ht="17" customHeight="1" x14ac:dyDescent="0.2">
      <c r="B19" s="125" t="s">
        <v>51</v>
      </c>
      <c r="D19" s="127">
        <f>SUMIF('RABONA PAYMENTS'!$Q$7:$Q$205,B19,'RABONA PAYMENTS'!$S$7:$S$205)</f>
        <v>0</v>
      </c>
      <c r="E19" s="131"/>
      <c r="F19" s="221"/>
      <c r="G19" s="221"/>
      <c r="H19" s="130"/>
      <c r="I19" s="130"/>
    </row>
    <row r="20" spans="1:11" s="119" customFormat="1" ht="17" customHeight="1" x14ac:dyDescent="0.2">
      <c r="D20" s="131"/>
      <c r="E20" s="131"/>
      <c r="F20" s="143"/>
      <c r="G20" s="143"/>
      <c r="H20" s="130"/>
      <c r="I20" s="130"/>
    </row>
    <row r="21" spans="1:11" ht="17" customHeight="1" x14ac:dyDescent="0.2">
      <c r="B21" s="125" t="s">
        <v>361</v>
      </c>
      <c r="D21" s="127">
        <f>SUMIF('RABONA PAYMENTS'!$Q$7:$Q$205,B21,'RABONA PAYMENTS'!$S$7:$S$205)</f>
        <v>128.01999999999998</v>
      </c>
      <c r="E21" s="131"/>
      <c r="F21" s="221"/>
      <c r="G21" s="221"/>
      <c r="H21" s="130"/>
      <c r="I21" s="130"/>
    </row>
    <row r="22" spans="1:11" s="119" customFormat="1" ht="17" customHeight="1" thickBot="1" x14ac:dyDescent="0.25">
      <c r="B22" s="140"/>
      <c r="C22" s="140"/>
      <c r="D22" s="141"/>
      <c r="E22" s="141"/>
      <c r="F22" s="142"/>
      <c r="G22" s="136"/>
      <c r="H22" s="130"/>
      <c r="I22" s="130"/>
    </row>
    <row r="23" spans="1:11" s="119" customFormat="1" ht="17" customHeight="1" x14ac:dyDescent="0.2">
      <c r="D23" s="131"/>
      <c r="E23" s="131"/>
      <c r="F23" s="136"/>
      <c r="G23" s="136"/>
      <c r="H23" s="130"/>
      <c r="I23" s="130"/>
    </row>
    <row r="24" spans="1:11" ht="33" customHeight="1" x14ac:dyDescent="0.2">
      <c r="B24" s="122" t="s">
        <v>52</v>
      </c>
      <c r="C24" s="123"/>
      <c r="D24" s="144">
        <f>D6+D11+D19+D21</f>
        <v>52059.647034649061</v>
      </c>
      <c r="E24" s="129"/>
      <c r="F24" s="222"/>
      <c r="G24" s="222"/>
      <c r="H24" s="235"/>
      <c r="I24" s="243"/>
    </row>
    <row r="25" spans="1:11" s="119" customFormat="1" ht="17" customHeight="1" x14ac:dyDescent="0.2">
      <c r="F25" s="136"/>
      <c r="G25" s="136"/>
    </row>
    <row r="26" spans="1:11" s="119" customFormat="1" ht="17" customHeight="1" x14ac:dyDescent="0.2"/>
    <row r="27" spans="1:11" ht="17" customHeight="1" x14ac:dyDescent="0.2">
      <c r="B27" s="145" t="s">
        <v>53</v>
      </c>
      <c r="D27" s="146">
        <v>44986</v>
      </c>
      <c r="E27" s="121"/>
      <c r="F27" s="216" t="s">
        <v>105</v>
      </c>
      <c r="G27" s="216"/>
    </row>
    <row r="28" spans="1:11" ht="17" customHeight="1" x14ac:dyDescent="0.2">
      <c r="F28" s="119"/>
    </row>
    <row r="29" spans="1:11" s="149" customFormat="1" ht="17" customHeight="1" x14ac:dyDescent="0.2">
      <c r="A29" s="126"/>
      <c r="B29" s="147" t="s">
        <v>54</v>
      </c>
      <c r="C29" s="126"/>
      <c r="D29" s="148">
        <f>SUM(D30:D34)</f>
        <v>2142.75</v>
      </c>
      <c r="E29" s="126"/>
      <c r="F29" s="129">
        <f>SUMIF('RABONA PAYMENTS'!Q7:Q205,B29,'RABONA PAYMENTS'!X7:X205)</f>
        <v>2142.75</v>
      </c>
      <c r="G29" s="129"/>
      <c r="H29" s="126"/>
      <c r="I29" s="126"/>
      <c r="J29" s="126"/>
      <c r="K29" s="126"/>
    </row>
    <row r="30" spans="1:11" ht="17" customHeight="1" x14ac:dyDescent="0.2">
      <c r="B30" s="133" t="s">
        <v>55</v>
      </c>
      <c r="D30" s="139">
        <f>SUMIF('RABONA PAYMENTS'!$P$7:$P$206,B30,'RABONA PAYMENTS'!$X$7:$X$206)</f>
        <v>2142.75</v>
      </c>
      <c r="F30" s="131"/>
      <c r="G30" s="131"/>
    </row>
    <row r="31" spans="1:11" ht="17" customHeight="1" x14ac:dyDescent="0.2">
      <c r="B31" s="133" t="s">
        <v>56</v>
      </c>
      <c r="D31" s="139">
        <f>SUMIF('RABONA PAYMENTS'!$P$7:$P$206,B31,'RABONA PAYMENTS'!$X$7:$X$206)</f>
        <v>0</v>
      </c>
      <c r="F31" s="131"/>
      <c r="G31" s="131"/>
    </row>
    <row r="32" spans="1:11" ht="17" customHeight="1" x14ac:dyDescent="0.2">
      <c r="B32" s="133" t="s">
        <v>57</v>
      </c>
      <c r="D32" s="139">
        <f>SUMIF('RABONA PAYMENTS'!$P$7:$P$206,B32,'RABONA PAYMENTS'!$X$7:$X$206)</f>
        <v>0</v>
      </c>
      <c r="F32" s="131"/>
      <c r="G32" s="131"/>
    </row>
    <row r="33" spans="1:11" ht="17" customHeight="1" x14ac:dyDescent="0.2">
      <c r="B33" s="133" t="s">
        <v>34</v>
      </c>
      <c r="D33" s="139">
        <f>SUMIF('RABONA PAYMENTS'!$P$7:$P$206,B33,'RABONA PAYMENTS'!$X$7:$X$206)</f>
        <v>0</v>
      </c>
      <c r="F33" s="131"/>
      <c r="G33" s="131"/>
    </row>
    <row r="34" spans="1:11" ht="17" hidden="1" customHeight="1" x14ac:dyDescent="0.2">
      <c r="B34" s="233" t="s">
        <v>131</v>
      </c>
      <c r="D34" s="234">
        <f>SUMIF('RABONA PAYMENTS'!$P$7:$P$206,B34,'RABONA PAYMENTS'!$X$7:$X$206)</f>
        <v>0</v>
      </c>
      <c r="F34" s="131"/>
      <c r="G34" s="131"/>
    </row>
    <row r="35" spans="1:11" s="119" customFormat="1" ht="17" customHeight="1" x14ac:dyDescent="0.2">
      <c r="B35" s="134"/>
      <c r="D35" s="131"/>
    </row>
    <row r="36" spans="1:11" s="149" customFormat="1" ht="17" customHeight="1" x14ac:dyDescent="0.2">
      <c r="A36" s="126"/>
      <c r="B36" s="147" t="s">
        <v>101</v>
      </c>
      <c r="C36" s="126"/>
      <c r="D36" s="148">
        <f>SUM(D37:D38)</f>
        <v>0</v>
      </c>
      <c r="E36" s="126"/>
      <c r="F36" s="129">
        <f>SUMIF('RABONA PAYMENTS'!Q7:Q205,B36,'RABONA PAYMENTS'!X7:X205)</f>
        <v>0</v>
      </c>
      <c r="G36" s="129"/>
      <c r="H36" s="148">
        <f>'RABONA PAYMENTS'!AG206</f>
        <v>10602.627034649067</v>
      </c>
      <c r="I36" s="147" t="s">
        <v>116</v>
      </c>
      <c r="J36" s="126"/>
      <c r="K36" s="126"/>
    </row>
    <row r="37" spans="1:11" ht="17" customHeight="1" x14ac:dyDescent="0.2">
      <c r="B37" s="133" t="s">
        <v>58</v>
      </c>
      <c r="D37" s="139">
        <f>SUMIF('RABONA PAYMENTS'!$P$7:$P$206,B37,'RABONA PAYMENTS'!$X$7:$X$206)</f>
        <v>0</v>
      </c>
      <c r="F37" s="131"/>
      <c r="G37" s="131"/>
      <c r="H37" s="228">
        <f>SUMIF('RABONA PAYMENTS'!$AI$7:$AI$205,B37,'RABONA PAYMENTS'!$AG$7:$AG$205)</f>
        <v>97.43</v>
      </c>
      <c r="I37" s="362" t="s">
        <v>359</v>
      </c>
    </row>
    <row r="38" spans="1:11" ht="17" customHeight="1" x14ac:dyDescent="0.2">
      <c r="B38" s="133" t="s">
        <v>104</v>
      </c>
      <c r="D38" s="139">
        <f>SUMIF('RABONA PAYMENTS'!$P$7:$P$206,B38,'RABONA PAYMENTS'!$X$7:$X$206)</f>
        <v>0</v>
      </c>
      <c r="F38" s="132"/>
      <c r="G38" s="131"/>
      <c r="H38" s="228">
        <f>SUMIF('RABONA PAYMENTS'!$AI$7:$AI$205,B38,'RABONA PAYMENTS'!$AG$7:$AG$205)</f>
        <v>10505.197034649067</v>
      </c>
      <c r="I38" s="227" t="s">
        <v>358</v>
      </c>
    </row>
    <row r="39" spans="1:11" s="119" customFormat="1" ht="17" customHeight="1" x14ac:dyDescent="0.2">
      <c r="B39" s="134"/>
      <c r="D39" s="131"/>
    </row>
    <row r="40" spans="1:11" s="119" customFormat="1" ht="17" customHeight="1" x14ac:dyDescent="0.2">
      <c r="B40" s="147" t="s">
        <v>59</v>
      </c>
      <c r="D40" s="148">
        <f>SUM(D41:D46)</f>
        <v>8811.59</v>
      </c>
      <c r="F40" s="129">
        <f>SUMIF('RABONA PAYMENTS'!$Q$7:$Q$205,B40,'RABONA PAYMENTS'!$X$7:$X$205)</f>
        <v>8811.59</v>
      </c>
      <c r="G40" s="129"/>
    </row>
    <row r="41" spans="1:11" s="119" customFormat="1" ht="17" customHeight="1" x14ac:dyDescent="0.2">
      <c r="B41" s="133" t="s">
        <v>124</v>
      </c>
      <c r="D41" s="139">
        <f>SUMIF('RABONA PAYMENTS'!$P$7:$P$206,B41,'RABONA PAYMENTS'!$X$7:$X$206)</f>
        <v>0</v>
      </c>
      <c r="F41" s="129"/>
      <c r="G41" s="129"/>
    </row>
    <row r="42" spans="1:11" s="119" customFormat="1" ht="17" customHeight="1" x14ac:dyDescent="0.2">
      <c r="B42" s="133" t="s">
        <v>125</v>
      </c>
      <c r="D42" s="139">
        <f>SUMIF('RABONA PAYMENTS'!$P$7:$P$206,B42,'RABONA PAYMENTS'!$X$7:$X$206)</f>
        <v>0</v>
      </c>
      <c r="F42" s="129"/>
      <c r="G42" s="129"/>
    </row>
    <row r="43" spans="1:11" s="119" customFormat="1" ht="17" customHeight="1" x14ac:dyDescent="0.2">
      <c r="B43" s="133" t="s">
        <v>126</v>
      </c>
      <c r="D43" s="139">
        <f>SUMIF('RABONA PAYMENTS'!$P$7:$P$206,B43,'RABONA PAYMENTS'!$X$7:$X$206)</f>
        <v>0</v>
      </c>
      <c r="F43" s="129"/>
      <c r="G43" s="129"/>
    </row>
    <row r="44" spans="1:11" s="119" customFormat="1" ht="17" customHeight="1" x14ac:dyDescent="0.2">
      <c r="B44" s="133" t="s">
        <v>707</v>
      </c>
      <c r="D44" s="139">
        <f>SUMIF('RABONA PAYMENTS'!$P$7:$P$206,B44,'RABONA PAYMENTS'!$X$7:$X$206)</f>
        <v>8811.59</v>
      </c>
      <c r="F44" s="129"/>
      <c r="G44" s="129"/>
    </row>
    <row r="45" spans="1:11" s="119" customFormat="1" ht="17" hidden="1" customHeight="1" x14ac:dyDescent="0.2">
      <c r="B45" s="133" t="s">
        <v>97</v>
      </c>
      <c r="D45" s="139">
        <f>SUMIF('RABONA PAYMENTS'!$P$7:$P$206,B45,'RABONA PAYMENTS'!$X$7:$X$206)</f>
        <v>0</v>
      </c>
      <c r="F45" s="129"/>
      <c r="G45" s="129"/>
    </row>
    <row r="46" spans="1:11" s="119" customFormat="1" ht="17" hidden="1" customHeight="1" x14ac:dyDescent="0.2">
      <c r="B46" s="133"/>
      <c r="D46" s="139">
        <f>SUMIF('RABONA PAYMENTS'!$P$7:$P$206,B46,'RABONA PAYMENTS'!$X$7:$X$206)</f>
        <v>0</v>
      </c>
      <c r="F46" s="129"/>
      <c r="G46" s="129"/>
    </row>
    <row r="47" spans="1:11" s="119" customFormat="1" ht="17" customHeight="1" x14ac:dyDescent="0.2">
      <c r="B47" s="134"/>
      <c r="D47" s="131"/>
    </row>
    <row r="48" spans="1:11" s="149" customFormat="1" ht="17" customHeight="1" x14ac:dyDescent="0.2">
      <c r="A48" s="126"/>
      <c r="B48" s="147" t="s">
        <v>115</v>
      </c>
      <c r="C48" s="126"/>
      <c r="D48" s="148">
        <f>D50+D59</f>
        <v>3506.4770346490668</v>
      </c>
      <c r="E48" s="126"/>
      <c r="F48" s="129">
        <f>SUMIF('RABONA PAYMENTS'!$Q$7:$Q$205,B48,'RABONA PAYMENTS'!$X$7:$X$205)</f>
        <v>3506.4770346490668</v>
      </c>
      <c r="G48" s="129"/>
      <c r="H48" s="129"/>
      <c r="I48" s="126"/>
      <c r="J48" s="126"/>
      <c r="K48" s="126"/>
    </row>
    <row r="49" spans="2:6" x14ac:dyDescent="0.2">
      <c r="F49" s="119"/>
    </row>
    <row r="50" spans="2:6" ht="17" customHeight="1" x14ac:dyDescent="0.2">
      <c r="B50" s="150" t="s">
        <v>41</v>
      </c>
      <c r="D50" s="151">
        <f>SUM(D51:D57)</f>
        <v>2871.1370346490667</v>
      </c>
      <c r="F50" s="119"/>
    </row>
    <row r="51" spans="2:6" s="119" customFormat="1" ht="17" customHeight="1" x14ac:dyDescent="0.2">
      <c r="B51" s="133" t="s">
        <v>60</v>
      </c>
      <c r="D51" s="219">
        <f>SUMIF('RABONA PAYMENTS'!$P$7:$P$205,B51,'RABONA PAYMENTS'!$X$7:$X$205)-D60</f>
        <v>673.27290815781043</v>
      </c>
    </row>
    <row r="52" spans="2:6" s="119" customFormat="1" ht="17" customHeight="1" x14ac:dyDescent="0.2">
      <c r="B52" s="133" t="s">
        <v>61</v>
      </c>
      <c r="D52" s="219">
        <f>SUMIF('RABONA PAYMENTS'!$P$7:$P$205,B52,'RABONA PAYMENTS'!$X$7:$X$205)-D61</f>
        <v>1451.87</v>
      </c>
    </row>
    <row r="53" spans="2:6" s="119" customFormat="1" ht="17" customHeight="1" x14ac:dyDescent="0.2">
      <c r="B53" s="133" t="s">
        <v>62</v>
      </c>
      <c r="D53" s="219">
        <f>SUMIF('RABONA PAYMENTS'!$P$7:$P$205,B53,'RABONA PAYMENTS'!$X$7:$X$205)</f>
        <v>690.7399999999999</v>
      </c>
    </row>
    <row r="54" spans="2:6" s="119" customFormat="1" ht="17" customHeight="1" x14ac:dyDescent="0.2">
      <c r="B54" s="133" t="s">
        <v>63</v>
      </c>
      <c r="D54" s="219">
        <f>SUMIF('RABONA PAYMENTS'!$P$7:$P$205,B54,'RABONA PAYMENTS'!$X$7:$X$205)</f>
        <v>0</v>
      </c>
    </row>
    <row r="55" spans="2:6" s="119" customFormat="1" ht="17" customHeight="1" x14ac:dyDescent="0.2">
      <c r="B55" s="133" t="s">
        <v>123</v>
      </c>
      <c r="D55" s="219">
        <f>SUMIF('RABONA PAYMENTS'!$P$7:$P$205,B55,'RABONA PAYMENTS'!$X$7:$X$205)</f>
        <v>0</v>
      </c>
    </row>
    <row r="56" spans="2:6" s="119" customFormat="1" ht="17" customHeight="1" x14ac:dyDescent="0.2">
      <c r="B56" s="133" t="s">
        <v>128</v>
      </c>
      <c r="D56" s="219">
        <f>SUMIF('RABONA PAYMENTS'!$P$7:$P$205,B56,'RABONA PAYMENTS'!$X$7:$X$205)</f>
        <v>55.254126491256741</v>
      </c>
    </row>
    <row r="57" spans="2:6" s="119" customFormat="1" ht="17" customHeight="1" x14ac:dyDescent="0.2">
      <c r="B57" s="133"/>
      <c r="D57" s="152"/>
    </row>
    <row r="58" spans="2:6" x14ac:dyDescent="0.2">
      <c r="D58" s="119"/>
      <c r="F58" s="119"/>
    </row>
    <row r="59" spans="2:6" ht="17" customHeight="1" x14ac:dyDescent="0.2">
      <c r="B59" s="150" t="s">
        <v>64</v>
      </c>
      <c r="D59" s="151">
        <f>SUM(D60:D66)</f>
        <v>635.33999999999992</v>
      </c>
      <c r="F59" s="119"/>
    </row>
    <row r="60" spans="2:6" ht="17" customHeight="1" x14ac:dyDescent="0.2">
      <c r="B60" s="133" t="s">
        <v>60</v>
      </c>
      <c r="D60" s="220">
        <f>SUMIF('RABONA PAYMENTS'!$P$7:$P$205,B60,'RABONA PAYMENTS'!$AE$7:$AE$205)</f>
        <v>362.34</v>
      </c>
      <c r="F60" s="119"/>
    </row>
    <row r="61" spans="2:6" ht="17" customHeight="1" x14ac:dyDescent="0.2">
      <c r="B61" s="133" t="s">
        <v>61</v>
      </c>
      <c r="D61" s="220">
        <f>SUMIF('RABONA PAYMENTS'!$P$7:$P$205,B61,'RABONA PAYMENTS'!$AE$7:$AE$205)</f>
        <v>237</v>
      </c>
      <c r="F61" s="119"/>
    </row>
    <row r="62" spans="2:6" ht="17" customHeight="1" x14ac:dyDescent="0.2">
      <c r="B62" s="133" t="s">
        <v>117</v>
      </c>
      <c r="D62" s="220">
        <f>SUMIF('RABONA PAYMENTS'!$P$7:$P$205,B62,'RABONA PAYMENTS'!$AE$7:$AE$205)</f>
        <v>0</v>
      </c>
      <c r="F62" s="119"/>
    </row>
    <row r="63" spans="2:6" ht="17" customHeight="1" x14ac:dyDescent="0.2">
      <c r="B63" s="133" t="s">
        <v>63</v>
      </c>
      <c r="D63" s="220">
        <f>SUMIF('RABONA PAYMENTS'!$P$7:$P$205,B63,'RABONA PAYMENTS'!$AE$7:$AE$205)</f>
        <v>0</v>
      </c>
      <c r="F63" s="119"/>
    </row>
    <row r="64" spans="2:6" ht="17" customHeight="1" x14ac:dyDescent="0.2">
      <c r="B64" s="133" t="s">
        <v>789</v>
      </c>
      <c r="D64" s="220">
        <f>SUMIF('RABONA PAYMENTS'!$P$7:$P$205,B64,'RABONA PAYMENTS'!$AE$7:$AE$205)</f>
        <v>36</v>
      </c>
      <c r="F64" s="119"/>
    </row>
    <row r="65" spans="1:11" ht="17" customHeight="1" x14ac:dyDescent="0.2">
      <c r="B65" s="133"/>
      <c r="D65" s="135"/>
      <c r="F65" s="119"/>
    </row>
    <row r="66" spans="1:11" ht="17" customHeight="1" x14ac:dyDescent="0.2">
      <c r="B66" s="133"/>
      <c r="D66" s="135"/>
      <c r="F66" s="119"/>
    </row>
    <row r="67" spans="1:11" ht="17" customHeight="1" x14ac:dyDescent="0.2">
      <c r="B67" s="138"/>
      <c r="D67" s="131"/>
      <c r="F67" s="119"/>
    </row>
    <row r="68" spans="1:11" s="149" customFormat="1" ht="17" customHeight="1" x14ac:dyDescent="0.2">
      <c r="A68" s="126"/>
      <c r="B68" s="147" t="s">
        <v>65</v>
      </c>
      <c r="C68" s="126"/>
      <c r="D68" s="148">
        <f>D81+D70</f>
        <v>1844.5</v>
      </c>
      <c r="E68" s="126"/>
      <c r="F68" s="129">
        <f>SUMIF('RABONA PAYMENTS'!$Q$7:$Q$205,B68,'RABONA PAYMENTS'!$X$7:$X$205)</f>
        <v>1844.5</v>
      </c>
      <c r="G68" s="129"/>
      <c r="H68" s="126"/>
      <c r="I68" s="126"/>
      <c r="J68" s="126"/>
      <c r="K68" s="126"/>
    </row>
    <row r="69" spans="1:11" s="126" customFormat="1" ht="17" customHeight="1" x14ac:dyDescent="0.2">
      <c r="D69" s="129"/>
    </row>
    <row r="70" spans="1:11" ht="17" customHeight="1" x14ac:dyDescent="0.2">
      <c r="B70" s="150" t="s">
        <v>65</v>
      </c>
      <c r="D70" s="153">
        <f>SUM(D71:D79)</f>
        <v>1844.5</v>
      </c>
      <c r="F70" s="131"/>
      <c r="G70" s="131"/>
    </row>
    <row r="71" spans="1:11" ht="17" customHeight="1" x14ac:dyDescent="0.2">
      <c r="B71" s="133" t="s">
        <v>66</v>
      </c>
      <c r="D71" s="219">
        <f>SUMIF('RABONA PAYMENTS'!$P$7:$P$205,B71,'RABONA PAYMENTS'!$X$7:$X$205)-D82</f>
        <v>1844.5</v>
      </c>
      <c r="F71" s="154"/>
      <c r="G71" s="154"/>
    </row>
    <row r="72" spans="1:11" ht="17" customHeight="1" x14ac:dyDescent="0.2">
      <c r="B72" s="133" t="s">
        <v>113</v>
      </c>
      <c r="D72" s="219">
        <f>SUMIF('RABONA PAYMENTS'!$P$7:$P$205,B72,'RABONA PAYMENTS'!$X$7:$X$205)-D83</f>
        <v>0</v>
      </c>
      <c r="F72" s="154"/>
      <c r="G72" s="154"/>
    </row>
    <row r="73" spans="1:11" ht="17" customHeight="1" x14ac:dyDescent="0.2">
      <c r="B73" s="133" t="s">
        <v>45</v>
      </c>
      <c r="D73" s="219">
        <f>SUMIF('RABONA PAYMENTS'!$P$7:$P$205,B73,'RABONA PAYMENTS'!$X$7:$X$205)-D84</f>
        <v>0</v>
      </c>
      <c r="F73" s="154"/>
      <c r="G73" s="154"/>
    </row>
    <row r="74" spans="1:11" ht="17" customHeight="1" x14ac:dyDescent="0.2">
      <c r="B74" s="133" t="s">
        <v>68</v>
      </c>
      <c r="D74" s="219">
        <f>SUMIF('RABONA PAYMENTS'!$P$7:$P$205,B74,'RABONA PAYMENTS'!$X$7:$X$205)-D85</f>
        <v>0</v>
      </c>
      <c r="F74" s="154"/>
      <c r="G74" s="154"/>
    </row>
    <row r="75" spans="1:11" ht="17" customHeight="1" x14ac:dyDescent="0.2">
      <c r="B75" s="133" t="s">
        <v>69</v>
      </c>
      <c r="D75" s="219">
        <f>SUMIF('RABONA PAYMENTS'!$P$7:$P$205,B75,'RABONA PAYMENTS'!$X$7:$X$205)-D86</f>
        <v>0</v>
      </c>
      <c r="F75" s="154"/>
      <c r="G75" s="154"/>
    </row>
    <row r="76" spans="1:11" ht="17" customHeight="1" x14ac:dyDescent="0.2">
      <c r="B76" s="133" t="s">
        <v>49</v>
      </c>
      <c r="D76" s="219">
        <f>SUMIF('RABONA PAYMENTS'!$P$7:$P$205,B76,'RABONA PAYMENTS'!$X$7:$X$205)-D87</f>
        <v>0</v>
      </c>
      <c r="F76" s="154"/>
      <c r="G76" s="154"/>
    </row>
    <row r="77" spans="1:11" ht="17" customHeight="1" x14ac:dyDescent="0.2">
      <c r="B77" s="133"/>
      <c r="D77" s="219">
        <f>SUMIF('RABONA PAYMENTS'!$P$7:$P$205,B77,'RABONA PAYMENTS'!$X$7:$X$205)-D88</f>
        <v>0</v>
      </c>
      <c r="F77" s="154"/>
      <c r="G77" s="154"/>
    </row>
    <row r="78" spans="1:11" ht="17" customHeight="1" x14ac:dyDescent="0.2">
      <c r="B78" s="133"/>
      <c r="D78" s="219">
        <f>SUMIF('RABONA PAYMENTS'!$P$7:$P$205,B78,'RABONA PAYMENTS'!$X$7:$X$205)-D89</f>
        <v>0</v>
      </c>
      <c r="F78" s="154"/>
      <c r="G78" s="154"/>
    </row>
    <row r="79" spans="1:11" ht="17" customHeight="1" x14ac:dyDescent="0.2">
      <c r="B79" s="133"/>
      <c r="D79" s="219">
        <f>SUMIF('RABONA PAYMENTS'!$P$7:$P$205,B79,'RABONA PAYMENTS'!$X$7:$X$205)-D90</f>
        <v>0</v>
      </c>
      <c r="F79" s="136"/>
      <c r="G79" s="136"/>
    </row>
    <row r="80" spans="1:11" s="126" customFormat="1" ht="17" customHeight="1" x14ac:dyDescent="0.2">
      <c r="D80" s="129"/>
    </row>
    <row r="81" spans="1:11" ht="17" customHeight="1" x14ac:dyDescent="0.2">
      <c r="B81" s="150" t="s">
        <v>70</v>
      </c>
      <c r="D81" s="153">
        <f>SUM(D82:D90)</f>
        <v>0</v>
      </c>
      <c r="F81" s="119"/>
    </row>
    <row r="82" spans="1:11" ht="17" customHeight="1" x14ac:dyDescent="0.2">
      <c r="B82" s="133" t="s">
        <v>66</v>
      </c>
      <c r="D82" s="220">
        <f>SUMIF('RABONA PAYMENTS'!$P$7:$P$205,B82,'RABONA PAYMENTS'!$AE$7:$AE$205)</f>
        <v>0</v>
      </c>
      <c r="F82" s="119"/>
    </row>
    <row r="83" spans="1:11" ht="17" customHeight="1" x14ac:dyDescent="0.2">
      <c r="B83" s="133" t="s">
        <v>67</v>
      </c>
      <c r="D83" s="220">
        <f>SUMIF('RABONA PAYMENTS'!$P$7:$P$205,B83,'RABONA PAYMENTS'!$AE$7:$AE$205)</f>
        <v>0</v>
      </c>
      <c r="F83" s="119"/>
    </row>
    <row r="84" spans="1:11" ht="17" customHeight="1" x14ac:dyDescent="0.2">
      <c r="B84" s="133" t="s">
        <v>45</v>
      </c>
      <c r="D84" s="220">
        <f>SUMIF('RABONA PAYMENTS'!$P$7:$P$205,B84,'RABONA PAYMENTS'!$AE$7:$AE$205)</f>
        <v>0</v>
      </c>
      <c r="F84" s="119"/>
    </row>
    <row r="85" spans="1:11" ht="17" customHeight="1" x14ac:dyDescent="0.2">
      <c r="B85" s="133" t="s">
        <v>68</v>
      </c>
      <c r="D85" s="220">
        <f>SUMIF('RABONA PAYMENTS'!$P$7:$P$205,B85,'RABONA PAYMENTS'!$AE$7:$AE$205)</f>
        <v>0</v>
      </c>
      <c r="F85" s="119"/>
    </row>
    <row r="86" spans="1:11" ht="17" customHeight="1" x14ac:dyDescent="0.2">
      <c r="B86" s="133" t="s">
        <v>69</v>
      </c>
      <c r="D86" s="220">
        <f>SUMIF('RABONA PAYMENTS'!$P$7:$P$205,B86,'RABONA PAYMENTS'!$AE$7:$AE$205)</f>
        <v>0</v>
      </c>
      <c r="F86" s="119"/>
    </row>
    <row r="87" spans="1:11" ht="17" customHeight="1" x14ac:dyDescent="0.2">
      <c r="B87" s="133" t="s">
        <v>49</v>
      </c>
      <c r="D87" s="220">
        <f>SUMIF('RABONA PAYMENTS'!$P$7:$P$205,B87,'RABONA PAYMENTS'!$AE$7:$AE$205)</f>
        <v>0</v>
      </c>
      <c r="F87" s="119"/>
    </row>
    <row r="88" spans="1:11" ht="17" hidden="1" customHeight="1" x14ac:dyDescent="0.2">
      <c r="B88" s="133"/>
      <c r="D88" s="139"/>
      <c r="F88" s="119"/>
    </row>
    <row r="89" spans="1:11" ht="17" hidden="1" customHeight="1" x14ac:dyDescent="0.2">
      <c r="B89" s="133"/>
      <c r="D89" s="139"/>
      <c r="F89" s="119"/>
    </row>
    <row r="90" spans="1:11" ht="17" hidden="1" customHeight="1" x14ac:dyDescent="0.2">
      <c r="B90" s="133"/>
      <c r="D90" s="139"/>
      <c r="F90" s="119"/>
    </row>
    <row r="91" spans="1:11" s="119" customFormat="1" ht="17" customHeight="1" x14ac:dyDescent="0.2">
      <c r="D91" s="131"/>
    </row>
    <row r="92" spans="1:11" s="149" customFormat="1" ht="17" customHeight="1" x14ac:dyDescent="0.2">
      <c r="A92" s="126"/>
      <c r="B92" s="147" t="s">
        <v>71</v>
      </c>
      <c r="C92" s="126"/>
      <c r="D92" s="148">
        <f>D94+D102</f>
        <v>0</v>
      </c>
      <c r="E92" s="126"/>
      <c r="F92" s="129">
        <f>SUMIF('RABONA PAYMENTS'!$Q$7:$Q$205,B92,'RABONA PAYMENTS'!$X$7:$X$205)</f>
        <v>0</v>
      </c>
      <c r="G92" s="129"/>
      <c r="H92" s="126"/>
      <c r="I92" s="126"/>
      <c r="J92" s="126"/>
      <c r="K92" s="126"/>
    </row>
    <row r="93" spans="1:11" s="119" customFormat="1" ht="17" customHeight="1" x14ac:dyDescent="0.2">
      <c r="B93" s="126"/>
      <c r="D93" s="131"/>
    </row>
    <row r="94" spans="1:11" ht="17" customHeight="1" x14ac:dyDescent="0.2">
      <c r="B94" s="150" t="s">
        <v>72</v>
      </c>
      <c r="D94" s="153">
        <f>SUM(D95:D100)</f>
        <v>0</v>
      </c>
      <c r="F94" s="131"/>
      <c r="G94" s="131"/>
    </row>
    <row r="95" spans="1:11" ht="17" customHeight="1" x14ac:dyDescent="0.2">
      <c r="B95" s="133" t="s">
        <v>73</v>
      </c>
      <c r="D95" s="219">
        <f>SUMIF('RABONA PAYMENTS'!$P$7:$P$205,B95,'RABONA PAYMENTS'!$X$7:$X$205)-D103</f>
        <v>0</v>
      </c>
      <c r="F95" s="131"/>
      <c r="G95" s="131"/>
    </row>
    <row r="96" spans="1:11" ht="17" customHeight="1" x14ac:dyDescent="0.2">
      <c r="B96" s="133" t="s">
        <v>74</v>
      </c>
      <c r="D96" s="219">
        <f>SUMIF('RABONA PAYMENTS'!$P$7:$P$205,B96,'RABONA PAYMENTS'!$X$7:$X$205)-D104</f>
        <v>0</v>
      </c>
      <c r="F96" s="131"/>
      <c r="G96" s="131"/>
    </row>
    <row r="97" spans="1:11" ht="17" customHeight="1" x14ac:dyDescent="0.2">
      <c r="B97" s="133" t="s">
        <v>75</v>
      </c>
      <c r="D97" s="219">
        <f>SUMIF('RABONA PAYMENTS'!$P$7:$P$205,B97,'RABONA PAYMENTS'!$X$7:$X$205)-D105</f>
        <v>0</v>
      </c>
      <c r="F97" s="131"/>
      <c r="G97" s="131"/>
    </row>
    <row r="98" spans="1:11" ht="17" customHeight="1" x14ac:dyDescent="0.2">
      <c r="B98" s="133" t="s">
        <v>118</v>
      </c>
      <c r="D98" s="219">
        <f>SUMIF('RABONA PAYMENTS'!$P$7:$P$205,B98,'RABONA PAYMENTS'!$X$7:$X$205)-D106</f>
        <v>0</v>
      </c>
      <c r="F98" s="131"/>
      <c r="G98" s="131"/>
    </row>
    <row r="99" spans="1:11" ht="17" hidden="1" customHeight="1" x14ac:dyDescent="0.2">
      <c r="B99" s="133"/>
      <c r="D99" s="155"/>
      <c r="F99" s="131"/>
      <c r="G99" s="131"/>
    </row>
    <row r="100" spans="1:11" ht="17" hidden="1" customHeight="1" x14ac:dyDescent="0.2">
      <c r="B100" s="133"/>
      <c r="D100" s="155"/>
      <c r="F100" s="131"/>
      <c r="G100" s="131"/>
    </row>
    <row r="101" spans="1:11" s="119" customFormat="1" ht="17" customHeight="1" x14ac:dyDescent="0.2">
      <c r="B101" s="134"/>
      <c r="D101" s="131"/>
    </row>
    <row r="102" spans="1:11" ht="17" customHeight="1" x14ac:dyDescent="0.2">
      <c r="B102" s="150" t="s">
        <v>76</v>
      </c>
      <c r="D102" s="153">
        <f>SUM(D103:D108)</f>
        <v>0</v>
      </c>
      <c r="F102" s="119"/>
    </row>
    <row r="103" spans="1:11" ht="17" customHeight="1" x14ac:dyDescent="0.2">
      <c r="B103" s="133" t="s">
        <v>73</v>
      </c>
      <c r="D103" s="220">
        <f>SUMIF('RABONA PAYMENTS'!$P$7:$P$205,B103,'RABONA PAYMENTS'!$AE$7:$AE$205)</f>
        <v>0</v>
      </c>
      <c r="F103" s="119"/>
    </row>
    <row r="104" spans="1:11" ht="17" customHeight="1" x14ac:dyDescent="0.2">
      <c r="B104" s="133" t="s">
        <v>74</v>
      </c>
      <c r="D104" s="220">
        <f>SUMIF('RABONA PAYMENTS'!$P$7:$P$205,B104,'RABONA PAYMENTS'!$AE$7:$AE$205)</f>
        <v>0</v>
      </c>
      <c r="F104" s="119"/>
    </row>
    <row r="105" spans="1:11" ht="17" customHeight="1" x14ac:dyDescent="0.2">
      <c r="B105" s="133" t="s">
        <v>75</v>
      </c>
      <c r="D105" s="220">
        <f>SUMIF('RABONA PAYMENTS'!$P$7:$P$205,B105,'RABONA PAYMENTS'!$AE$7:$AE$205)</f>
        <v>0</v>
      </c>
      <c r="F105" s="119"/>
    </row>
    <row r="106" spans="1:11" ht="17" customHeight="1" x14ac:dyDescent="0.2">
      <c r="B106" s="133" t="s">
        <v>118</v>
      </c>
      <c r="D106" s="220">
        <f>SUMIF('RABONA PAYMENTS'!$P$7:$P$205,B106,'RABONA PAYMENTS'!$AE$7:$AE$205)</f>
        <v>0</v>
      </c>
      <c r="F106" s="119"/>
    </row>
    <row r="107" spans="1:11" ht="17" hidden="1" customHeight="1" x14ac:dyDescent="0.2">
      <c r="B107" s="133"/>
      <c r="D107" s="139"/>
      <c r="F107" s="119"/>
    </row>
    <row r="108" spans="1:11" ht="17" hidden="1" customHeight="1" x14ac:dyDescent="0.2">
      <c r="B108" s="133"/>
      <c r="D108" s="139"/>
      <c r="F108" s="119"/>
    </row>
    <row r="109" spans="1:11" s="119" customFormat="1" ht="17" customHeight="1" x14ac:dyDescent="0.2">
      <c r="B109" s="134"/>
      <c r="D109" s="131"/>
    </row>
    <row r="110" spans="1:11" s="149" customFormat="1" ht="17" customHeight="1" x14ac:dyDescent="0.2">
      <c r="A110" s="126"/>
      <c r="B110" s="147" t="s">
        <v>77</v>
      </c>
      <c r="C110" s="126"/>
      <c r="D110" s="148">
        <f>D112+D127</f>
        <v>3597.2200000000003</v>
      </c>
      <c r="E110" s="126"/>
      <c r="F110" s="129">
        <f>SUMIF('RABONA PAYMENTS'!$Q$7:$Q$205,B110,'RABONA PAYMENTS'!$X$7:$X$205)</f>
        <v>3597.2200000000003</v>
      </c>
      <c r="G110" s="129"/>
      <c r="H110" s="129">
        <f>D110-F110</f>
        <v>0</v>
      </c>
      <c r="I110" s="126"/>
      <c r="J110" s="126"/>
      <c r="K110" s="126"/>
    </row>
    <row r="111" spans="1:11" s="119" customFormat="1" ht="17" customHeight="1" x14ac:dyDescent="0.2">
      <c r="B111" s="126"/>
      <c r="D111" s="131"/>
      <c r="F111" s="131"/>
      <c r="G111" s="131"/>
    </row>
    <row r="112" spans="1:11" s="119" customFormat="1" ht="17" customHeight="1" x14ac:dyDescent="0.2">
      <c r="B112" s="150" t="s">
        <v>78</v>
      </c>
      <c r="D112" s="153">
        <f>SUM(D113:D125)</f>
        <v>3597.2200000000003</v>
      </c>
      <c r="F112" s="131"/>
      <c r="G112" s="131"/>
    </row>
    <row r="113" spans="2:7" ht="17" customHeight="1" x14ac:dyDescent="0.2">
      <c r="B113" s="133" t="s">
        <v>79</v>
      </c>
      <c r="D113" s="219">
        <f>SUMIF('RABONA PAYMENTS'!$P$7:$P$205,B113,'RABONA PAYMENTS'!$X$7:$X$205)-D128</f>
        <v>134.18</v>
      </c>
      <c r="F113" s="131"/>
      <c r="G113" s="131"/>
    </row>
    <row r="114" spans="2:7" ht="17" customHeight="1" x14ac:dyDescent="0.2">
      <c r="B114" s="133" t="s">
        <v>80</v>
      </c>
      <c r="D114" s="219">
        <f>SUMIF('RABONA PAYMENTS'!$P$7:$P$205,B114,'RABONA PAYMENTS'!$X$7:$X$205)-D129</f>
        <v>68</v>
      </c>
      <c r="F114" s="131"/>
      <c r="G114" s="131"/>
    </row>
    <row r="115" spans="2:7" ht="17" customHeight="1" x14ac:dyDescent="0.2">
      <c r="B115" s="133" t="s">
        <v>81</v>
      </c>
      <c r="D115" s="219">
        <f>SUMIF('RABONA PAYMENTS'!$P$7:$P$205,B115,'RABONA PAYMENTS'!$X$7:$X$205)-D130</f>
        <v>0</v>
      </c>
      <c r="F115" s="131"/>
      <c r="G115" s="131"/>
    </row>
    <row r="116" spans="2:7" ht="17" customHeight="1" x14ac:dyDescent="0.2">
      <c r="B116" s="133" t="s">
        <v>82</v>
      </c>
      <c r="D116" s="219">
        <f>SUMIF('RABONA PAYMENTS'!$P$7:$P$205,B116,'RABONA PAYMENTS'!$X$7:$X$205)-D131</f>
        <v>50</v>
      </c>
      <c r="F116" s="131"/>
      <c r="G116" s="131"/>
    </row>
    <row r="117" spans="2:7" ht="17" customHeight="1" x14ac:dyDescent="0.2">
      <c r="B117" s="133" t="s">
        <v>83</v>
      </c>
      <c r="D117" s="219">
        <f>SUMIF('RABONA PAYMENTS'!$P$7:$P$205,B117,'RABONA PAYMENTS'!$X$7:$X$205)-D132</f>
        <v>0</v>
      </c>
      <c r="F117" s="131"/>
      <c r="G117" s="131"/>
    </row>
    <row r="118" spans="2:7" ht="17" customHeight="1" x14ac:dyDescent="0.2">
      <c r="B118" s="133" t="s">
        <v>84</v>
      </c>
      <c r="D118" s="219">
        <f>SUMIF('RABONA PAYMENTS'!$P$7:$P$205,B118,'RABONA PAYMENTS'!$X$7:$X$205)-D133</f>
        <v>0</v>
      </c>
      <c r="F118" s="131"/>
      <c r="G118" s="131"/>
    </row>
    <row r="119" spans="2:7" ht="17" customHeight="1" x14ac:dyDescent="0.2">
      <c r="B119" s="133" t="s">
        <v>85</v>
      </c>
      <c r="D119" s="219">
        <f>SUMIF('RABONA PAYMENTS'!$P$7:$P$205,B119,'RABONA PAYMENTS'!$X$7:$X$205)-D134</f>
        <v>3123.7900000000004</v>
      </c>
      <c r="F119" s="131"/>
      <c r="G119" s="131"/>
    </row>
    <row r="120" spans="2:7" ht="17" customHeight="1" x14ac:dyDescent="0.2">
      <c r="B120" s="133" t="s">
        <v>114</v>
      </c>
      <c r="D120" s="219">
        <f>SUMIF('RABONA PAYMENTS'!$P$7:$P$205,B120,'RABONA PAYMENTS'!$X$7:$X$205)-D135</f>
        <v>120</v>
      </c>
      <c r="F120" s="131"/>
      <c r="G120" s="131"/>
    </row>
    <row r="121" spans="2:7" ht="17" customHeight="1" x14ac:dyDescent="0.2">
      <c r="B121" s="133" t="s">
        <v>87</v>
      </c>
      <c r="D121" s="219">
        <f>SUMIF('RABONA PAYMENTS'!$P$7:$P$205,B121,'RABONA PAYMENTS'!$X$7:$X$205)-D136</f>
        <v>101.25</v>
      </c>
      <c r="F121" s="131"/>
      <c r="G121" s="131"/>
    </row>
    <row r="122" spans="2:7" ht="17" customHeight="1" x14ac:dyDescent="0.2">
      <c r="B122" s="133" t="s">
        <v>88</v>
      </c>
      <c r="D122" s="219">
        <f>SUMIF('RABONA PAYMENTS'!$P$7:$P$205,B122,'RABONA PAYMENTS'!$X$7:$X$205)-D137</f>
        <v>0</v>
      </c>
      <c r="F122" s="131"/>
      <c r="G122" s="131"/>
    </row>
    <row r="123" spans="2:7" ht="17" hidden="1" customHeight="1" x14ac:dyDescent="0.2">
      <c r="B123" s="133"/>
      <c r="D123" s="219">
        <f>SUMIF('RABONA PAYMENTS'!$P$7:$P$205,B123,'RABONA PAYMENTS'!$X$7:$X$205)-D138</f>
        <v>0</v>
      </c>
      <c r="F123" s="131"/>
      <c r="G123" s="131"/>
    </row>
    <row r="124" spans="2:7" ht="17" hidden="1" customHeight="1" x14ac:dyDescent="0.2">
      <c r="B124" s="133"/>
      <c r="D124" s="219">
        <f>SUMIF('RABONA PAYMENTS'!$P$7:$P$205,B124,'RABONA PAYMENTS'!$X$7:$X$205)-D139</f>
        <v>0</v>
      </c>
      <c r="F124" s="131"/>
      <c r="G124" s="131"/>
    </row>
    <row r="125" spans="2:7" ht="17" hidden="1" customHeight="1" x14ac:dyDescent="0.2">
      <c r="B125" s="133"/>
      <c r="D125" s="219">
        <f>SUMIF('RABONA PAYMENTS'!$P$7:$P$205,B125,'RABONA PAYMENTS'!$X$7:$X$205)-D140</f>
        <v>0</v>
      </c>
      <c r="F125" s="131"/>
      <c r="G125" s="131"/>
    </row>
    <row r="126" spans="2:7" s="119" customFormat="1" ht="17" customHeight="1" x14ac:dyDescent="0.2">
      <c r="B126" s="134"/>
      <c r="D126" s="131"/>
      <c r="F126" s="131"/>
      <c r="G126" s="131"/>
    </row>
    <row r="127" spans="2:7" ht="17" customHeight="1" x14ac:dyDescent="0.2">
      <c r="B127" s="150" t="s">
        <v>89</v>
      </c>
      <c r="D127" s="153">
        <f>SUM(D128:D140)</f>
        <v>0</v>
      </c>
      <c r="F127" s="131"/>
      <c r="G127" s="131"/>
    </row>
    <row r="128" spans="2:7" ht="17" customHeight="1" x14ac:dyDescent="0.2">
      <c r="B128" s="133" t="s">
        <v>79</v>
      </c>
      <c r="D128" s="220">
        <f>SUMIF('RABONA PAYMENTS'!$P$7:$P$205,B128,'RABONA PAYMENTS'!$AE$7:$AE$205)</f>
        <v>0</v>
      </c>
      <c r="F128" s="131"/>
      <c r="G128" s="131"/>
    </row>
    <row r="129" spans="1:11" ht="17" customHeight="1" x14ac:dyDescent="0.2">
      <c r="B129" s="133" t="s">
        <v>80</v>
      </c>
      <c r="D129" s="220">
        <f>SUMIF('RABONA PAYMENTS'!$P$7:$P$205,B129,'RABONA PAYMENTS'!$AE$7:$AE$205)</f>
        <v>0</v>
      </c>
      <c r="F129" s="131"/>
      <c r="G129" s="131"/>
    </row>
    <row r="130" spans="1:11" ht="17" customHeight="1" x14ac:dyDescent="0.2">
      <c r="B130" s="133" t="s">
        <v>81</v>
      </c>
      <c r="D130" s="220">
        <f>SUMIF('RABONA PAYMENTS'!$P$7:$P$205,B130,'RABONA PAYMENTS'!$AE$7:$AE$205)</f>
        <v>0</v>
      </c>
      <c r="F130" s="131"/>
      <c r="G130" s="131"/>
    </row>
    <row r="131" spans="1:11" ht="17" customHeight="1" x14ac:dyDescent="0.2">
      <c r="B131" s="133" t="s">
        <v>82</v>
      </c>
      <c r="D131" s="220">
        <f>SUMIF('RABONA PAYMENTS'!$P$7:$P$205,B131,'RABONA PAYMENTS'!$AE$7:$AE$205)</f>
        <v>0</v>
      </c>
      <c r="F131" s="131"/>
      <c r="G131" s="131"/>
    </row>
    <row r="132" spans="1:11" ht="17" customHeight="1" x14ac:dyDescent="0.2">
      <c r="B132" s="133" t="s">
        <v>83</v>
      </c>
      <c r="D132" s="220">
        <f>SUMIF('RABONA PAYMENTS'!$P$7:$P$205,B132,'RABONA PAYMENTS'!$AE$7:$AE$205)</f>
        <v>0</v>
      </c>
      <c r="F132" s="131"/>
      <c r="G132" s="131"/>
    </row>
    <row r="133" spans="1:11" ht="17" customHeight="1" x14ac:dyDescent="0.2">
      <c r="B133" s="133" t="s">
        <v>84</v>
      </c>
      <c r="D133" s="220">
        <f>SUMIF('RABONA PAYMENTS'!$P$7:$P$205,B133,'RABONA PAYMENTS'!$AE$7:$AE$205)</f>
        <v>0</v>
      </c>
      <c r="F133" s="131"/>
      <c r="G133" s="131"/>
    </row>
    <row r="134" spans="1:11" ht="17" customHeight="1" x14ac:dyDescent="0.2">
      <c r="B134" s="133" t="s">
        <v>85</v>
      </c>
      <c r="D134" s="220">
        <f>SUMIF('RABONA PAYMENTS'!$P$7:$P$205,B134,'RABONA PAYMENTS'!$AE$7:$AE$205)</f>
        <v>0</v>
      </c>
      <c r="F134" s="131"/>
      <c r="G134" s="131"/>
    </row>
    <row r="135" spans="1:11" ht="17" customHeight="1" x14ac:dyDescent="0.2">
      <c r="B135" s="133" t="s">
        <v>86</v>
      </c>
      <c r="D135" s="220">
        <f>SUMIF('RABONA PAYMENTS'!$P$7:$P$205,B135,'RABONA PAYMENTS'!$AE$7:$AE$205)</f>
        <v>0</v>
      </c>
      <c r="F135" s="131"/>
      <c r="G135" s="131"/>
    </row>
    <row r="136" spans="1:11" ht="17" customHeight="1" x14ac:dyDescent="0.2">
      <c r="B136" s="133" t="s">
        <v>87</v>
      </c>
      <c r="D136" s="220">
        <f>SUMIF('RABONA PAYMENTS'!$P$7:$P$205,B136,'RABONA PAYMENTS'!$AE$7:$AE$205)</f>
        <v>0</v>
      </c>
      <c r="F136" s="131"/>
      <c r="G136" s="131"/>
    </row>
    <row r="137" spans="1:11" ht="17" customHeight="1" x14ac:dyDescent="0.2">
      <c r="B137" s="133" t="s">
        <v>88</v>
      </c>
      <c r="D137" s="220">
        <f>SUMIF('RABONA PAYMENTS'!$P$7:$P$205,B137,'RABONA PAYMENTS'!$AE$7:$AE$205)</f>
        <v>0</v>
      </c>
      <c r="F137" s="131"/>
      <c r="G137" s="131"/>
    </row>
    <row r="138" spans="1:11" ht="17" hidden="1" customHeight="1" x14ac:dyDescent="0.2">
      <c r="B138" s="133"/>
      <c r="D138" s="139"/>
      <c r="F138" s="131"/>
      <c r="G138" s="131"/>
    </row>
    <row r="139" spans="1:11" ht="17" hidden="1" customHeight="1" x14ac:dyDescent="0.2">
      <c r="B139" s="133"/>
      <c r="D139" s="139"/>
      <c r="F139" s="131"/>
      <c r="G139" s="131"/>
    </row>
    <row r="140" spans="1:11" ht="17" hidden="1" customHeight="1" x14ac:dyDescent="0.2">
      <c r="B140" s="133"/>
      <c r="D140" s="139"/>
      <c r="F140" s="131"/>
      <c r="G140" s="131"/>
    </row>
    <row r="141" spans="1:11" s="119" customFormat="1" ht="17" customHeight="1" x14ac:dyDescent="0.2">
      <c r="D141" s="131"/>
      <c r="F141" s="131"/>
      <c r="G141" s="131"/>
    </row>
    <row r="142" spans="1:11" s="149" customFormat="1" ht="17" customHeight="1" x14ac:dyDescent="0.2">
      <c r="A142" s="126"/>
      <c r="B142" s="147" t="s">
        <v>90</v>
      </c>
      <c r="C142" s="126"/>
      <c r="D142" s="148">
        <f>D144+D153</f>
        <v>1266.28</v>
      </c>
      <c r="E142" s="126"/>
      <c r="F142" s="129">
        <f>SUMIF('RABONA PAYMENTS'!$Q$7:$Q$205,B142,'RABONA PAYMENTS'!$X$7:$X$205)</f>
        <v>1266.28</v>
      </c>
      <c r="G142" s="129"/>
      <c r="H142" s="129">
        <f>D142-F142</f>
        <v>0</v>
      </c>
      <c r="I142" s="126"/>
      <c r="J142" s="126"/>
      <c r="K142" s="126"/>
    </row>
    <row r="143" spans="1:11" s="119" customFormat="1" ht="17" customHeight="1" x14ac:dyDescent="0.2">
      <c r="D143" s="131"/>
      <c r="F143" s="131"/>
      <c r="G143" s="131"/>
    </row>
    <row r="144" spans="1:11" ht="17" customHeight="1" x14ac:dyDescent="0.2">
      <c r="B144" s="150" t="s">
        <v>91</v>
      </c>
      <c r="D144" s="153">
        <f>SUM(D145:D151)</f>
        <v>1266.28</v>
      </c>
      <c r="F144" s="129"/>
      <c r="G144" s="129"/>
    </row>
    <row r="145" spans="2:7" ht="17" customHeight="1" x14ac:dyDescent="0.2">
      <c r="B145" s="133" t="s">
        <v>91</v>
      </c>
      <c r="D145" s="219">
        <f>SUMIF('RABONA PAYMENTS'!$P$7:$P$205,B145,'RABONA PAYMENTS'!$X$7:$X$205)-D154</f>
        <v>896.59</v>
      </c>
      <c r="F145" s="131"/>
      <c r="G145" s="131"/>
    </row>
    <row r="146" spans="2:7" ht="17" customHeight="1" x14ac:dyDescent="0.2">
      <c r="B146" s="133" t="s">
        <v>92</v>
      </c>
      <c r="D146" s="219">
        <f>SUMIF('RABONA PAYMENTS'!$P$7:$P$205,B146,'RABONA PAYMENTS'!$X$7:$X$205)-D155</f>
        <v>85</v>
      </c>
      <c r="F146" s="131"/>
      <c r="G146" s="131"/>
    </row>
    <row r="147" spans="2:7" ht="17" customHeight="1" x14ac:dyDescent="0.2">
      <c r="B147" s="133" t="s">
        <v>93</v>
      </c>
      <c r="D147" s="219">
        <f>SUMIF('RABONA PAYMENTS'!$P$7:$P$205,B147,'RABONA PAYMENTS'!$X$7:$X$205)-D156</f>
        <v>180.69</v>
      </c>
      <c r="F147" s="131"/>
      <c r="G147" s="131"/>
    </row>
    <row r="148" spans="2:7" ht="17" customHeight="1" x14ac:dyDescent="0.2">
      <c r="B148" s="133" t="s">
        <v>94</v>
      </c>
      <c r="D148" s="219">
        <f>SUMIF('RABONA PAYMENTS'!$P$7:$P$205,B148,'RABONA PAYMENTS'!$X$7:$X$205)-D157</f>
        <v>104</v>
      </c>
      <c r="F148" s="131"/>
      <c r="G148" s="131"/>
    </row>
    <row r="149" spans="2:7" ht="17" hidden="1" customHeight="1" x14ac:dyDescent="0.2">
      <c r="B149" s="133"/>
      <c r="D149" s="219">
        <f>SUMIF('RABONA PAYMENTS'!$P$7:$P$205,B149,'RABONA PAYMENTS'!$X$7:$X$205)-D158</f>
        <v>0</v>
      </c>
      <c r="F149" s="131"/>
      <c r="G149" s="131"/>
    </row>
    <row r="150" spans="2:7" ht="17" hidden="1" customHeight="1" x14ac:dyDescent="0.2">
      <c r="B150" s="133"/>
      <c r="D150" s="139"/>
      <c r="F150" s="131"/>
      <c r="G150" s="131"/>
    </row>
    <row r="151" spans="2:7" ht="17" hidden="1" customHeight="1" x14ac:dyDescent="0.2">
      <c r="B151" s="133"/>
      <c r="D151" s="139"/>
      <c r="F151" s="131"/>
      <c r="G151" s="131"/>
    </row>
    <row r="152" spans="2:7" s="119" customFormat="1" ht="17" customHeight="1" x14ac:dyDescent="0.2">
      <c r="B152" s="134"/>
      <c r="D152" s="131"/>
      <c r="F152" s="131"/>
      <c r="G152" s="131"/>
    </row>
    <row r="153" spans="2:7" ht="17" customHeight="1" x14ac:dyDescent="0.2">
      <c r="B153" s="150" t="s">
        <v>127</v>
      </c>
      <c r="D153" s="153">
        <f>SUM(D154:D160)</f>
        <v>0</v>
      </c>
      <c r="F153" s="129"/>
      <c r="G153" s="129"/>
    </row>
    <row r="154" spans="2:7" ht="17" customHeight="1" x14ac:dyDescent="0.2">
      <c r="B154" s="133" t="s">
        <v>91</v>
      </c>
      <c r="D154" s="220">
        <f>SUMIF('RABONA PAYMENTS'!$P$7:$P$205,B154,'RABONA PAYMENTS'!$AE$7:$AE$205)</f>
        <v>0</v>
      </c>
      <c r="F154" s="131"/>
      <c r="G154" s="131"/>
    </row>
    <row r="155" spans="2:7" ht="17" customHeight="1" x14ac:dyDescent="0.2">
      <c r="B155" s="133" t="s">
        <v>92</v>
      </c>
      <c r="D155" s="220">
        <f>SUMIF('RABONA PAYMENTS'!$P$7:$P$205,B155,'RABONA PAYMENTS'!$AE$7:$AE$205)</f>
        <v>0</v>
      </c>
      <c r="F155" s="131"/>
      <c r="G155" s="131"/>
    </row>
    <row r="156" spans="2:7" ht="17" customHeight="1" x14ac:dyDescent="0.2">
      <c r="B156" s="133" t="s">
        <v>93</v>
      </c>
      <c r="D156" s="220">
        <f>SUMIF('RABONA PAYMENTS'!$P$7:$P$205,B156,'RABONA PAYMENTS'!$AE$7:$AE$205)</f>
        <v>0</v>
      </c>
      <c r="F156" s="131"/>
      <c r="G156" s="131"/>
    </row>
    <row r="157" spans="2:7" ht="17" customHeight="1" x14ac:dyDescent="0.2">
      <c r="B157" s="133" t="s">
        <v>94</v>
      </c>
      <c r="D157" s="220">
        <f>SUMIF('RABONA PAYMENTS'!$P$7:$P$205,B157,'RABONA PAYMENTS'!$AE$7:$AE$205)</f>
        <v>0</v>
      </c>
      <c r="F157" s="131"/>
      <c r="G157" s="131"/>
    </row>
    <row r="158" spans="2:7" ht="17" hidden="1" customHeight="1" x14ac:dyDescent="0.2">
      <c r="B158" s="133"/>
      <c r="D158" s="220"/>
      <c r="F158" s="131"/>
      <c r="G158" s="131"/>
    </row>
    <row r="159" spans="2:7" ht="17" hidden="1" customHeight="1" x14ac:dyDescent="0.2">
      <c r="B159" s="133"/>
      <c r="D159" s="139"/>
      <c r="F159" s="131"/>
      <c r="G159" s="131"/>
    </row>
    <row r="160" spans="2:7" ht="17" hidden="1" customHeight="1" x14ac:dyDescent="0.2">
      <c r="B160" s="133"/>
      <c r="D160" s="139"/>
      <c r="F160" s="131"/>
      <c r="G160" s="131"/>
    </row>
    <row r="161" spans="2:11" s="119" customFormat="1" ht="17" customHeight="1" x14ac:dyDescent="0.2">
      <c r="B161" s="134"/>
      <c r="D161" s="131"/>
      <c r="F161" s="131"/>
      <c r="G161" s="131"/>
    </row>
    <row r="162" spans="2:11" ht="17" customHeight="1" x14ac:dyDescent="0.2">
      <c r="B162" s="147" t="s">
        <v>96</v>
      </c>
      <c r="D162" s="148">
        <f>SUMIF('RABONA PAYMENTS'!$P$7:$P$206,B162,'RABONA PAYMENTS'!$X$7:$X$206)</f>
        <v>103.88000000000001</v>
      </c>
      <c r="F162" s="129"/>
      <c r="G162" s="129"/>
    </row>
    <row r="163" spans="2:11" s="119" customFormat="1" ht="17" customHeight="1" x14ac:dyDescent="0.2">
      <c r="B163" s="126"/>
      <c r="D163" s="131"/>
      <c r="F163" s="131"/>
      <c r="G163" s="131"/>
    </row>
    <row r="164" spans="2:11" ht="29" customHeight="1" x14ac:dyDescent="0.2">
      <c r="B164" s="230" t="s">
        <v>98</v>
      </c>
      <c r="D164" s="231">
        <f>D29+D40+D48+D68+D92+D110+D142+D162+D36</f>
        <v>21272.697034649067</v>
      </c>
      <c r="E164" s="123"/>
      <c r="F164" s="218"/>
      <c r="G164" s="126"/>
      <c r="H164" s="128"/>
      <c r="I164" s="123"/>
      <c r="J164" s="123"/>
      <c r="K164" s="123"/>
    </row>
    <row r="165" spans="2:11" s="119" customFormat="1" ht="17" customHeight="1" x14ac:dyDescent="0.2">
      <c r="D165" s="131"/>
    </row>
    <row r="166" spans="2:11" ht="35" customHeight="1" x14ac:dyDescent="0.2">
      <c r="B166" s="156" t="s">
        <v>99</v>
      </c>
      <c r="D166" s="157">
        <f>D24-D164</f>
        <v>30786.949999999993</v>
      </c>
      <c r="E166" s="123"/>
      <c r="F166" s="123"/>
      <c r="G166" s="123"/>
      <c r="H166" s="123"/>
      <c r="I166" s="123"/>
      <c r="J166" s="123"/>
      <c r="K166" s="123"/>
    </row>
    <row r="167" spans="2:11" s="119" customFormat="1" ht="17" customHeight="1" x14ac:dyDescent="0.2"/>
    <row r="168" spans="2:11" ht="17" customHeight="1" x14ac:dyDescent="0.2">
      <c r="B168" s="147" t="s">
        <v>95</v>
      </c>
      <c r="D168" s="148">
        <f>SUMIF('RABONA PAYMENTS'!$P$7:$P$206,B168,'RABONA PAYMENTS'!$X$7:$X$206)</f>
        <v>1720</v>
      </c>
      <c r="F168" s="129"/>
      <c r="G168" s="129"/>
    </row>
    <row r="169" spans="2:11" s="119" customFormat="1" ht="17" customHeight="1" x14ac:dyDescent="0.2"/>
    <row r="170" spans="2:11" ht="17" customHeight="1" x14ac:dyDescent="0.2">
      <c r="B170" s="147" t="s">
        <v>121</v>
      </c>
      <c r="D170" s="148">
        <f>D171+D174</f>
        <v>18463.47</v>
      </c>
      <c r="F170" s="129">
        <f>SUMIF('RABONA PAYMENTS'!$Q$7:$Q$205,B170,'RABONA PAYMENTS'!$X$7:$X$205)</f>
        <v>18463.469999999998</v>
      </c>
      <c r="G170" s="129"/>
      <c r="H170" s="129">
        <f>'RABONA PAYMENTS'!AH206</f>
        <v>18463.469999999998</v>
      </c>
    </row>
    <row r="171" spans="2:11" ht="17" customHeight="1" x14ac:dyDescent="0.2">
      <c r="B171" s="973" t="s">
        <v>700</v>
      </c>
      <c r="D171" s="971">
        <f>D173+D172</f>
        <v>18453.47</v>
      </c>
      <c r="F171" s="129"/>
      <c r="G171" s="129"/>
      <c r="H171" s="129"/>
    </row>
    <row r="172" spans="2:11" x14ac:dyDescent="0.2">
      <c r="B172" s="225" t="s">
        <v>697</v>
      </c>
      <c r="D172" s="139">
        <f>SUMIF('RABONA PAYMENTS'!$P$7:$P$206,B172,'RABONA PAYMENTS'!$X$7:$X$206)</f>
        <v>15327</v>
      </c>
      <c r="F172" s="131"/>
      <c r="G172" s="131"/>
    </row>
    <row r="173" spans="2:11" x14ac:dyDescent="0.2">
      <c r="B173" s="226" t="s">
        <v>699</v>
      </c>
      <c r="D173" s="139">
        <f>SUMIF('RABONA PAYMENTS'!$P$7:$P$206,B173,'RABONA PAYMENTS'!$X$7:$X$206)</f>
        <v>3126.47</v>
      </c>
      <c r="F173" s="131"/>
      <c r="G173" s="131"/>
    </row>
    <row r="174" spans="2:11" x14ac:dyDescent="0.2">
      <c r="B174" s="972" t="s">
        <v>701</v>
      </c>
      <c r="D174" s="970">
        <f>D175+D176</f>
        <v>10</v>
      </c>
      <c r="F174" s="131"/>
      <c r="G174" s="131"/>
    </row>
    <row r="175" spans="2:11" x14ac:dyDescent="0.2">
      <c r="B175" s="225" t="s">
        <v>698</v>
      </c>
      <c r="D175" s="139">
        <f>SUMIF('RABONA PAYMENTS'!$P$7:$P$206,B175,'RABONA PAYMENTS'!$X$7:$X$206)</f>
        <v>10</v>
      </c>
      <c r="F175" s="131"/>
      <c r="G175" s="131"/>
    </row>
    <row r="176" spans="2:11" x14ac:dyDescent="0.2">
      <c r="B176" s="226" t="s">
        <v>702</v>
      </c>
      <c r="D176" s="139">
        <f>SUMIF('RABONA PAYMENTS'!$P$7:$P$206,B176,'RABONA PAYMENTS'!$X$7:$X$206)</f>
        <v>0</v>
      </c>
      <c r="F176" s="131"/>
      <c r="G176" s="131"/>
    </row>
    <row r="177" spans="2:7" s="119" customFormat="1" ht="17" customHeight="1" x14ac:dyDescent="0.2"/>
    <row r="178" spans="2:7" s="119" customFormat="1" ht="45" customHeight="1" x14ac:dyDescent="0.2">
      <c r="B178" s="224" t="s">
        <v>530</v>
      </c>
      <c r="D178" s="223">
        <f>SUMIF('RABONA PAYMENTS'!Q7:Q205,B178,'RABONA PAYMENTS'!S7:S205)</f>
        <v>8060</v>
      </c>
      <c r="E178" s="158"/>
    </row>
    <row r="179" spans="2:7" s="119" customFormat="1" ht="45" customHeight="1" x14ac:dyDescent="0.2">
      <c r="B179" s="224" t="s">
        <v>531</v>
      </c>
      <c r="D179" s="223">
        <f>SUMIF('RABONA PAYMENTS'!Q7:Q206,B179,'RABONA PAYMENTS'!S7:S206)</f>
        <v>0</v>
      </c>
      <c r="E179" s="158"/>
    </row>
    <row r="180" spans="2:7" s="119" customFormat="1" x14ac:dyDescent="0.2"/>
    <row r="181" spans="2:7" s="119" customFormat="1" ht="45" customHeight="1" x14ac:dyDescent="0.2">
      <c r="B181" s="224" t="s">
        <v>122</v>
      </c>
      <c r="D181" s="223">
        <f>D153+D127+D102+D81+D59</f>
        <v>635.33999999999992</v>
      </c>
      <c r="F181" s="129">
        <f>'RABONA PAYMENTS'!AE206</f>
        <v>635.34</v>
      </c>
      <c r="G181" s="129"/>
    </row>
    <row r="182" spans="2:7" s="119" customFormat="1" x14ac:dyDescent="0.2"/>
    <row r="234" spans="2:6" ht="17" customHeight="1" x14ac:dyDescent="0.2">
      <c r="B234" s="159"/>
      <c r="D234" s="135"/>
      <c r="E234" s="160"/>
      <c r="F234" s="161"/>
    </row>
  </sheetData>
  <conditionalFormatting sqref="D14 D17">
    <cfRule type="expression" dxfId="31" priority="394">
      <formula>$D$14=$H$38</formula>
    </cfRule>
  </conditionalFormatting>
  <conditionalFormatting sqref="D48">
    <cfRule type="expression" dxfId="30" priority="3">
      <formula>$D$48=$F$48</formula>
    </cfRule>
  </conditionalFormatting>
  <conditionalFormatting sqref="D68">
    <cfRule type="expression" dxfId="29" priority="4">
      <formula>$D$68=$F$68</formula>
    </cfRule>
  </conditionalFormatting>
  <conditionalFormatting sqref="D92">
    <cfRule type="expression" dxfId="28" priority="5">
      <formula>$D$92=$F$92</formula>
    </cfRule>
  </conditionalFormatting>
  <conditionalFormatting sqref="D110">
    <cfRule type="expression" dxfId="27" priority="6">
      <formula>$D$110=$F$110</formula>
    </cfRule>
  </conditionalFormatting>
  <conditionalFormatting sqref="D142">
    <cfRule type="expression" dxfId="26" priority="7">
      <formula>$D$142=$F$142</formula>
    </cfRule>
  </conditionalFormatting>
  <conditionalFormatting sqref="D164">
    <cfRule type="expression" dxfId="25" priority="1">
      <formula>$D$164=$F$164</formula>
    </cfRule>
  </conditionalFormatting>
  <conditionalFormatting sqref="D170:D171">
    <cfRule type="expression" dxfId="24" priority="8">
      <formula>$D$170=$H$170</formula>
    </cfRule>
  </conditionalFormatting>
  <conditionalFormatting sqref="D181">
    <cfRule type="expression" dxfId="23" priority="11">
      <formula>$D$181=$F$181</formula>
    </cfRule>
  </conditionalFormatting>
  <pageMargins left="0.25" right="0.25" top="0.75" bottom="0.75" header="0.3" footer="0.3"/>
  <pageSetup paperSize="9" scale="2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AE30-84E7-644F-B359-6713AC963AEF}">
  <sheetPr>
    <pageSetUpPr fitToPage="1"/>
  </sheetPr>
  <dimension ref="A1:AL164"/>
  <sheetViews>
    <sheetView tabSelected="1" topLeftCell="A30" zoomScale="80" zoomScaleNormal="80" workbookViewId="0">
      <selection activeCell="AE113" activeCellId="1" sqref="AE54 AE113"/>
    </sheetView>
  </sheetViews>
  <sheetFormatPr baseColWidth="10" defaultRowHeight="18" x14ac:dyDescent="0.2"/>
  <cols>
    <col min="1" max="1" width="10.83203125" style="27"/>
    <col min="2" max="2" width="13" style="27" hidden="1" customWidth="1"/>
    <col min="3" max="3" width="8.33203125" style="34" customWidth="1"/>
    <col min="4" max="4" width="5.33203125" style="377" customWidth="1"/>
    <col min="5" max="5" width="15.33203125" style="27" hidden="1" customWidth="1"/>
    <col min="6" max="6" width="17" style="27" hidden="1" customWidth="1"/>
    <col min="7" max="7" width="15.1640625" style="27" hidden="1" customWidth="1"/>
    <col min="8" max="8" width="17.1640625" style="27" hidden="1" customWidth="1"/>
    <col min="9" max="11" width="19.6640625" style="27" hidden="1" customWidth="1"/>
    <col min="12" max="12" width="14.83203125" style="27" bestFit="1" customWidth="1"/>
    <col min="13" max="13" width="15" style="27" customWidth="1"/>
    <col min="14" max="14" width="41.5" style="27" customWidth="1"/>
    <col min="15" max="15" width="28.83203125" style="27" customWidth="1"/>
    <col min="16" max="16" width="25.83203125" style="382" customWidth="1"/>
    <col min="17" max="17" width="32" style="382" customWidth="1"/>
    <col min="18" max="18" width="22.33203125" style="27" hidden="1" customWidth="1"/>
    <col min="19" max="19" width="20.33203125" style="27" customWidth="1"/>
    <col min="20" max="20" width="22.1640625" style="27" customWidth="1"/>
    <col min="21" max="21" width="22.1640625" style="27" hidden="1" customWidth="1"/>
    <col min="22" max="22" width="15.33203125" style="27" hidden="1" customWidth="1"/>
    <col min="23" max="23" width="17" style="27" hidden="1" customWidth="1"/>
    <col min="24" max="24" width="19.5" style="27" hidden="1" customWidth="1"/>
    <col min="25" max="25" width="18.83203125" style="27" hidden="1" customWidth="1"/>
    <col min="26" max="26" width="8.6640625" style="27" hidden="1" customWidth="1"/>
    <col min="27" max="28" width="14.6640625" style="27" hidden="1" customWidth="1"/>
    <col min="29" max="29" width="36.33203125" style="27" hidden="1" customWidth="1"/>
    <col min="30" max="30" width="35.1640625" style="27" hidden="1" customWidth="1"/>
    <col min="31" max="31" width="24" style="27" customWidth="1"/>
    <col min="32" max="32" width="71.83203125" style="27" hidden="1" customWidth="1"/>
    <col min="33" max="33" width="18.33203125" style="27" hidden="1" customWidth="1"/>
    <col min="34" max="34" width="20" style="27" hidden="1" customWidth="1"/>
    <col min="35" max="35" width="21.5" style="27" hidden="1" customWidth="1"/>
    <col min="36" max="36" width="17.1640625" style="27" customWidth="1"/>
    <col min="37" max="37" width="26.33203125" style="27" customWidth="1"/>
    <col min="38" max="38" width="50.6640625" style="27" customWidth="1"/>
    <col min="39" max="16384" width="10.83203125" style="27"/>
  </cols>
  <sheetData>
    <row r="1" spans="2:36" ht="39" customHeight="1" x14ac:dyDescent="0.2">
      <c r="H1" s="28"/>
      <c r="I1" s="28"/>
      <c r="J1" s="28"/>
      <c r="K1" s="28"/>
      <c r="M1" s="28"/>
      <c r="N1" s="245" t="s">
        <v>29</v>
      </c>
      <c r="O1" s="245" t="s">
        <v>30</v>
      </c>
      <c r="P1" s="246"/>
      <c r="V1" s="28"/>
      <c r="W1" s="28"/>
      <c r="X1" s="28"/>
      <c r="Y1" s="28"/>
      <c r="Z1" s="28"/>
      <c r="AA1" s="28"/>
      <c r="AB1" s="28"/>
      <c r="AC1" s="28"/>
      <c r="AD1" s="28"/>
      <c r="AJ1" s="28"/>
    </row>
    <row r="2" spans="2:36" ht="39" customHeight="1" x14ac:dyDescent="0.2">
      <c r="H2" s="28"/>
      <c r="I2" s="28"/>
      <c r="J2" s="28"/>
      <c r="K2" s="28"/>
      <c r="M2" s="28"/>
      <c r="N2" s="244">
        <f>'RABONA PAYMENTS'!AE206</f>
        <v>635.34</v>
      </c>
      <c r="O2" s="244">
        <f>AE28+AE56+AE113</f>
        <v>635.34</v>
      </c>
      <c r="P2" s="244">
        <f>N2-O2</f>
        <v>0</v>
      </c>
      <c r="V2" s="28"/>
      <c r="W2" s="28"/>
      <c r="X2" s="28"/>
      <c r="Y2" s="28"/>
      <c r="Z2" s="28"/>
      <c r="AA2" s="28"/>
      <c r="AB2" s="28"/>
      <c r="AC2" s="28"/>
      <c r="AD2" s="28"/>
      <c r="AJ2" s="28"/>
    </row>
    <row r="3" spans="2:36" s="78" customFormat="1" ht="18" hidden="1" customHeight="1" x14ac:dyDescent="0.2">
      <c r="C3" s="249"/>
      <c r="D3" s="378"/>
      <c r="P3" s="383"/>
      <c r="Q3" s="383"/>
    </row>
    <row r="4" spans="2:36" s="78" customFormat="1" ht="207" hidden="1" customHeight="1" x14ac:dyDescent="0.2">
      <c r="C4" s="249"/>
      <c r="D4" s="378"/>
      <c r="N4" s="247" t="s">
        <v>136</v>
      </c>
      <c r="O4" s="79"/>
      <c r="P4" s="79"/>
      <c r="Q4" s="383"/>
    </row>
    <row r="5" spans="2:36" ht="57" hidden="1" x14ac:dyDescent="0.2">
      <c r="B5" s="49" t="s">
        <v>0</v>
      </c>
      <c r="C5" s="374"/>
      <c r="D5" s="379"/>
      <c r="E5" s="49"/>
      <c r="F5" s="49"/>
      <c r="G5" s="49"/>
      <c r="H5" s="49" t="s">
        <v>26</v>
      </c>
      <c r="I5" s="49" t="s">
        <v>27</v>
      </c>
      <c r="J5" s="49" t="s">
        <v>33</v>
      </c>
      <c r="K5" s="49"/>
      <c r="L5" s="50" t="s">
        <v>1</v>
      </c>
      <c r="M5" s="51"/>
      <c r="N5" s="52" t="s">
        <v>3</v>
      </c>
      <c r="O5" s="53" t="s">
        <v>4</v>
      </c>
      <c r="P5" s="53" t="s">
        <v>100</v>
      </c>
      <c r="Q5" s="53" t="s">
        <v>5</v>
      </c>
      <c r="R5" s="54" t="s">
        <v>6</v>
      </c>
      <c r="S5" s="55" t="s">
        <v>32</v>
      </c>
      <c r="T5" s="55"/>
      <c r="U5" s="55"/>
      <c r="V5" s="56" t="s">
        <v>7</v>
      </c>
      <c r="W5" s="57" t="s">
        <v>8</v>
      </c>
      <c r="X5" s="58" t="s">
        <v>9</v>
      </c>
      <c r="Y5" s="58" t="s">
        <v>10</v>
      </c>
      <c r="Z5" s="49" t="s">
        <v>11</v>
      </c>
      <c r="AA5" s="49" t="s">
        <v>15</v>
      </c>
      <c r="AB5" s="49"/>
      <c r="AC5" s="49" t="s">
        <v>17</v>
      </c>
      <c r="AD5" s="49" t="s">
        <v>19</v>
      </c>
      <c r="AE5" s="55" t="s">
        <v>31</v>
      </c>
      <c r="AF5" s="59" t="s">
        <v>20</v>
      </c>
      <c r="AG5" s="48" t="s">
        <v>16</v>
      </c>
      <c r="AH5" s="29"/>
      <c r="AI5" s="29" t="s">
        <v>22</v>
      </c>
      <c r="AJ5" s="49" t="s">
        <v>17</v>
      </c>
    </row>
    <row r="6" spans="2:36" s="172" customFormat="1" ht="35" hidden="1" customHeight="1" x14ac:dyDescent="0.25">
      <c r="B6" s="26"/>
      <c r="C6" s="375"/>
      <c r="D6" s="380"/>
      <c r="E6" s="26"/>
      <c r="F6" s="26"/>
      <c r="G6" s="26"/>
      <c r="H6" s="16"/>
      <c r="I6" s="16"/>
      <c r="J6" s="16"/>
      <c r="K6" s="16"/>
      <c r="L6" s="36"/>
      <c r="M6" s="30"/>
      <c r="N6" s="17"/>
      <c r="O6" s="37"/>
      <c r="P6" s="384"/>
      <c r="Q6" s="385"/>
      <c r="R6" s="38"/>
      <c r="S6" s="39"/>
      <c r="T6" s="39"/>
      <c r="U6" s="39"/>
      <c r="V6" s="40"/>
      <c r="W6" s="41"/>
      <c r="X6" s="19"/>
      <c r="Y6" s="19"/>
      <c r="Z6" s="42"/>
      <c r="AA6" s="42"/>
      <c r="AB6" s="42"/>
      <c r="AC6" s="17"/>
      <c r="AD6" s="43"/>
      <c r="AE6" s="242"/>
      <c r="AF6" s="179"/>
      <c r="AG6" s="180"/>
      <c r="AH6" s="181"/>
      <c r="AI6" s="179"/>
      <c r="AJ6" s="17"/>
    </row>
    <row r="7" spans="2:36" s="172" customFormat="1" ht="34" hidden="1" customHeight="1" x14ac:dyDescent="0.25">
      <c r="B7" s="26"/>
      <c r="C7" s="375"/>
      <c r="D7" s="380"/>
      <c r="E7" s="26"/>
      <c r="F7" s="26"/>
      <c r="G7" s="26"/>
      <c r="H7" s="16"/>
      <c r="I7" s="16"/>
      <c r="J7" s="16"/>
      <c r="K7" s="16"/>
      <c r="L7" s="36"/>
      <c r="M7" s="30"/>
      <c r="N7" s="17"/>
      <c r="O7" s="37"/>
      <c r="P7" s="384"/>
      <c r="Q7" s="385"/>
      <c r="R7" s="38"/>
      <c r="S7" s="39"/>
      <c r="T7" s="39"/>
      <c r="U7" s="39"/>
      <c r="V7" s="40"/>
      <c r="W7" s="41"/>
      <c r="X7" s="19"/>
      <c r="Y7" s="19"/>
      <c r="Z7" s="42"/>
      <c r="AA7" s="42"/>
      <c r="AB7" s="42"/>
      <c r="AC7" s="17"/>
      <c r="AD7" s="43"/>
      <c r="AE7" s="242"/>
      <c r="AF7" s="179"/>
      <c r="AG7" s="180"/>
      <c r="AH7" s="181"/>
      <c r="AI7" s="179"/>
      <c r="AJ7" s="17"/>
    </row>
    <row r="8" spans="2:36" s="172" customFormat="1" ht="34" hidden="1" customHeight="1" x14ac:dyDescent="0.25">
      <c r="B8" s="26"/>
      <c r="C8" s="375"/>
      <c r="D8" s="380"/>
      <c r="E8" s="26"/>
      <c r="F8" s="26"/>
      <c r="G8" s="26"/>
      <c r="H8" s="16"/>
      <c r="I8" s="16"/>
      <c r="J8" s="16"/>
      <c r="K8" s="16"/>
      <c r="L8" s="36"/>
      <c r="M8" s="30"/>
      <c r="N8" s="17"/>
      <c r="O8" s="37"/>
      <c r="P8" s="384"/>
      <c r="Q8" s="385"/>
      <c r="R8" s="38"/>
      <c r="S8" s="39"/>
      <c r="T8" s="39"/>
      <c r="U8" s="39"/>
      <c r="V8" s="40"/>
      <c r="W8" s="41"/>
      <c r="X8" s="19"/>
      <c r="Y8" s="19"/>
      <c r="Z8" s="42"/>
      <c r="AA8" s="42"/>
      <c r="AB8" s="42"/>
      <c r="AC8" s="17"/>
      <c r="AD8" s="43"/>
      <c r="AE8" s="242"/>
      <c r="AF8" s="179"/>
      <c r="AG8" s="180"/>
      <c r="AH8" s="181"/>
      <c r="AI8" s="179"/>
      <c r="AJ8" s="17"/>
    </row>
    <row r="9" spans="2:36" s="172" customFormat="1" ht="34" hidden="1" customHeight="1" x14ac:dyDescent="0.25">
      <c r="B9" s="26"/>
      <c r="C9" s="375"/>
      <c r="D9" s="380"/>
      <c r="E9" s="26"/>
      <c r="F9" s="26"/>
      <c r="G9" s="26"/>
      <c r="H9" s="16"/>
      <c r="I9" s="16"/>
      <c r="J9" s="16"/>
      <c r="K9" s="16"/>
      <c r="L9" s="36"/>
      <c r="M9" s="30"/>
      <c r="N9" s="17"/>
      <c r="O9" s="37"/>
      <c r="P9" s="384"/>
      <c r="Q9" s="385"/>
      <c r="R9" s="38"/>
      <c r="S9" s="39"/>
      <c r="T9" s="39"/>
      <c r="U9" s="39"/>
      <c r="V9" s="40"/>
      <c r="W9" s="41"/>
      <c r="X9" s="19"/>
      <c r="Y9" s="19"/>
      <c r="Z9" s="42"/>
      <c r="AA9" s="42"/>
      <c r="AB9" s="42"/>
      <c r="AC9" s="17"/>
      <c r="AD9" s="43"/>
      <c r="AE9" s="242"/>
      <c r="AF9" s="179"/>
      <c r="AG9" s="180"/>
      <c r="AH9" s="181"/>
      <c r="AI9" s="179"/>
      <c r="AJ9" s="17"/>
    </row>
    <row r="10" spans="2:36" s="172" customFormat="1" ht="34" hidden="1" customHeight="1" x14ac:dyDescent="0.25">
      <c r="B10" s="26"/>
      <c r="C10" s="375"/>
      <c r="D10" s="380"/>
      <c r="E10" s="26"/>
      <c r="F10" s="26"/>
      <c r="G10" s="26"/>
      <c r="H10" s="16"/>
      <c r="I10" s="16"/>
      <c r="J10" s="16"/>
      <c r="K10" s="16"/>
      <c r="L10" s="36"/>
      <c r="M10" s="30"/>
      <c r="N10" s="17"/>
      <c r="O10" s="37"/>
      <c r="P10" s="384"/>
      <c r="Q10" s="385"/>
      <c r="R10" s="38"/>
      <c r="S10" s="39"/>
      <c r="T10" s="39"/>
      <c r="U10" s="39"/>
      <c r="V10" s="40"/>
      <c r="W10" s="41"/>
      <c r="X10" s="19"/>
      <c r="Y10" s="19"/>
      <c r="Z10" s="42"/>
      <c r="AA10" s="42"/>
      <c r="AB10" s="42"/>
      <c r="AC10" s="17"/>
      <c r="AD10" s="43"/>
      <c r="AE10" s="86"/>
      <c r="AF10" s="179"/>
      <c r="AG10" s="180"/>
      <c r="AH10" s="181"/>
      <c r="AI10" s="179"/>
      <c r="AJ10" s="17"/>
    </row>
    <row r="11" spans="2:36" customFormat="1" ht="34" hidden="1" customHeight="1" x14ac:dyDescent="0.2">
      <c r="B11" s="26"/>
      <c r="C11" s="375"/>
      <c r="D11" s="380"/>
      <c r="E11" s="26"/>
      <c r="F11" s="26"/>
      <c r="G11" s="26"/>
      <c r="H11" s="16"/>
      <c r="I11" s="16"/>
      <c r="J11" s="16"/>
      <c r="K11" s="16"/>
      <c r="L11" s="36"/>
      <c r="M11" s="30"/>
      <c r="N11" s="17"/>
      <c r="O11" s="37"/>
      <c r="P11" s="384"/>
      <c r="Q11" s="385"/>
      <c r="R11" s="38"/>
      <c r="S11" s="39"/>
      <c r="T11" s="39"/>
      <c r="U11" s="39"/>
      <c r="V11" s="40"/>
      <c r="W11" s="41"/>
      <c r="X11" s="19"/>
      <c r="Y11" s="19"/>
      <c r="Z11" s="42"/>
      <c r="AA11" s="42"/>
      <c r="AB11" s="42"/>
      <c r="AC11" s="17"/>
      <c r="AD11" s="43"/>
      <c r="AE11" s="86"/>
      <c r="AF11" s="2"/>
      <c r="AG11" s="1">
        <v>40.04</v>
      </c>
      <c r="AH11" s="1">
        <v>0</v>
      </c>
      <c r="AI11" s="5"/>
      <c r="AJ11" s="17"/>
    </row>
    <row r="12" spans="2:36" customFormat="1" ht="26" hidden="1" customHeight="1" x14ac:dyDescent="0.2">
      <c r="B12" s="26"/>
      <c r="C12" s="375"/>
      <c r="D12" s="380"/>
      <c r="E12" s="26"/>
      <c r="F12" s="26"/>
      <c r="G12" s="26"/>
      <c r="H12" s="16"/>
      <c r="I12" s="16"/>
      <c r="J12" s="16"/>
      <c r="K12" s="16"/>
      <c r="L12" s="36"/>
      <c r="M12" s="30"/>
      <c r="N12" s="17"/>
      <c r="O12" s="37"/>
      <c r="P12" s="384"/>
      <c r="Q12" s="385"/>
      <c r="R12" s="38"/>
      <c r="S12" s="39"/>
      <c r="T12" s="39"/>
      <c r="U12" s="39"/>
      <c r="V12" s="40"/>
      <c r="W12" s="41"/>
      <c r="X12" s="19"/>
      <c r="Y12" s="19"/>
      <c r="Z12" s="42"/>
      <c r="AA12" s="42"/>
      <c r="AB12" s="42"/>
      <c r="AC12" s="17"/>
      <c r="AD12" s="43"/>
      <c r="AE12" s="86"/>
      <c r="AF12" s="2"/>
      <c r="AG12" s="1">
        <v>40.19</v>
      </c>
      <c r="AH12" s="1">
        <v>0</v>
      </c>
      <c r="AI12" s="5"/>
      <c r="AJ12" s="17"/>
    </row>
    <row r="13" spans="2:36" customFormat="1" ht="26" hidden="1" customHeight="1" x14ac:dyDescent="0.2">
      <c r="B13" s="26"/>
      <c r="C13" s="375"/>
      <c r="D13" s="380"/>
      <c r="E13" s="26"/>
      <c r="F13" s="26"/>
      <c r="G13" s="26"/>
      <c r="H13" s="16"/>
      <c r="I13" s="16"/>
      <c r="J13" s="16"/>
      <c r="K13" s="16"/>
      <c r="L13" s="36"/>
      <c r="M13" s="30"/>
      <c r="N13" s="17"/>
      <c r="O13" s="37"/>
      <c r="P13" s="384"/>
      <c r="Q13" s="385"/>
      <c r="R13" s="38"/>
      <c r="S13" s="39"/>
      <c r="T13" s="39"/>
      <c r="U13" s="39"/>
      <c r="V13" s="40"/>
      <c r="W13" s="41"/>
      <c r="X13" s="19"/>
      <c r="Y13" s="19"/>
      <c r="Z13" s="42"/>
      <c r="AA13" s="42"/>
      <c r="AB13" s="42"/>
      <c r="AC13" s="17"/>
      <c r="AD13" s="43"/>
      <c r="AE13" s="86"/>
      <c r="AF13" s="2"/>
      <c r="AG13" s="1">
        <v>110.04</v>
      </c>
      <c r="AH13" s="1">
        <v>0</v>
      </c>
      <c r="AI13" s="5"/>
      <c r="AJ13" s="17"/>
    </row>
    <row r="14" spans="2:36" customFormat="1" ht="26" hidden="1" customHeight="1" x14ac:dyDescent="0.2">
      <c r="B14" s="26"/>
      <c r="C14" s="375"/>
      <c r="D14" s="380"/>
      <c r="E14" s="26"/>
      <c r="F14" s="26"/>
      <c r="G14" s="26"/>
      <c r="H14" s="16"/>
      <c r="I14" s="16"/>
      <c r="J14" s="16"/>
      <c r="K14" s="16"/>
      <c r="L14" s="36"/>
      <c r="M14" s="30"/>
      <c r="N14" s="17"/>
      <c r="O14" s="37"/>
      <c r="P14" s="384"/>
      <c r="Q14" s="385"/>
      <c r="R14" s="38"/>
      <c r="S14" s="39"/>
      <c r="T14" s="39"/>
      <c r="U14" s="39"/>
      <c r="V14" s="40"/>
      <c r="W14" s="41"/>
      <c r="X14" s="19"/>
      <c r="Y14" s="19"/>
      <c r="Z14" s="42"/>
      <c r="AA14" s="42"/>
      <c r="AB14" s="42"/>
      <c r="AC14" s="17"/>
      <c r="AD14" s="43"/>
      <c r="AE14" s="86"/>
      <c r="AF14" s="2"/>
      <c r="AG14" s="1">
        <v>0</v>
      </c>
      <c r="AH14" s="1">
        <v>0</v>
      </c>
      <c r="AI14" s="5"/>
      <c r="AJ14" s="17"/>
    </row>
    <row r="15" spans="2:36" customFormat="1" ht="26" hidden="1" customHeight="1" x14ac:dyDescent="0.2">
      <c r="B15" s="26"/>
      <c r="C15" s="375"/>
      <c r="D15" s="380"/>
      <c r="E15" s="26"/>
      <c r="F15" s="26"/>
      <c r="G15" s="26"/>
      <c r="H15" s="16"/>
      <c r="I15" s="16"/>
      <c r="J15" s="16"/>
      <c r="K15" s="16"/>
      <c r="L15" s="36"/>
      <c r="M15" s="30"/>
      <c r="N15" s="17"/>
      <c r="O15" s="37"/>
      <c r="P15" s="384"/>
      <c r="Q15" s="385"/>
      <c r="R15" s="38"/>
      <c r="S15" s="39"/>
      <c r="T15" s="39"/>
      <c r="U15" s="39"/>
      <c r="V15" s="40"/>
      <c r="W15" s="41"/>
      <c r="X15" s="19"/>
      <c r="Y15" s="19"/>
      <c r="Z15" s="42"/>
      <c r="AA15" s="42"/>
      <c r="AB15" s="42"/>
      <c r="AC15" s="17"/>
      <c r="AD15" s="43"/>
      <c r="AE15" s="86"/>
      <c r="AF15" s="2"/>
      <c r="AG15" s="1">
        <v>0</v>
      </c>
      <c r="AH15" s="1">
        <v>0</v>
      </c>
      <c r="AI15" s="5"/>
      <c r="AJ15" s="17"/>
    </row>
    <row r="16" spans="2:36" customFormat="1" ht="26" hidden="1" customHeight="1" x14ac:dyDescent="0.2">
      <c r="B16" s="26"/>
      <c r="C16" s="375"/>
      <c r="D16" s="380"/>
      <c r="E16" s="26"/>
      <c r="F16" s="26"/>
      <c r="G16" s="26"/>
      <c r="H16" s="16"/>
      <c r="I16" s="16"/>
      <c r="J16" s="16"/>
      <c r="K16" s="16"/>
      <c r="L16" s="36"/>
      <c r="M16" s="30"/>
      <c r="N16" s="17"/>
      <c r="O16" s="37"/>
      <c r="P16" s="384"/>
      <c r="Q16" s="385"/>
      <c r="R16" s="38"/>
      <c r="S16" s="39"/>
      <c r="T16" s="39"/>
      <c r="U16" s="39"/>
      <c r="V16" s="40"/>
      <c r="W16" s="41"/>
      <c r="X16" s="19"/>
      <c r="Y16" s="19"/>
      <c r="Z16" s="42"/>
      <c r="AA16" s="42"/>
      <c r="AB16" s="42"/>
      <c r="AC16" s="17"/>
      <c r="AD16" s="43"/>
      <c r="AE16" s="86"/>
      <c r="AF16" s="2"/>
      <c r="AG16" s="1">
        <v>0</v>
      </c>
      <c r="AH16" s="1">
        <v>0</v>
      </c>
      <c r="AI16" s="5"/>
      <c r="AJ16" s="17"/>
    </row>
    <row r="17" spans="2:37" customFormat="1" ht="26" hidden="1" customHeight="1" x14ac:dyDescent="0.2">
      <c r="B17" s="26"/>
      <c r="C17" s="375"/>
      <c r="D17" s="380"/>
      <c r="E17" s="26"/>
      <c r="F17" s="26"/>
      <c r="G17" s="26"/>
      <c r="H17" s="16"/>
      <c r="I17" s="16"/>
      <c r="J17" s="16"/>
      <c r="K17" s="16"/>
      <c r="L17" s="36"/>
      <c r="M17" s="30"/>
      <c r="N17" s="17"/>
      <c r="O17" s="37"/>
      <c r="P17" s="384"/>
      <c r="Q17" s="385"/>
      <c r="R17" s="38"/>
      <c r="S17" s="39"/>
      <c r="T17" s="39"/>
      <c r="U17" s="39"/>
      <c r="V17" s="40"/>
      <c r="W17" s="41"/>
      <c r="X17" s="19"/>
      <c r="Y17" s="19"/>
      <c r="Z17" s="42"/>
      <c r="AA17" s="42"/>
      <c r="AB17" s="42"/>
      <c r="AC17" s="17"/>
      <c r="AD17" s="43"/>
      <c r="AE17" s="86"/>
      <c r="AF17" s="2"/>
      <c r="AG17" s="76">
        <v>22</v>
      </c>
      <c r="AH17" s="76">
        <v>0</v>
      </c>
      <c r="AI17" s="77" t="s">
        <v>23</v>
      </c>
      <c r="AJ17" s="17"/>
    </row>
    <row r="18" spans="2:37" customFormat="1" ht="26" hidden="1" customHeight="1" x14ac:dyDescent="0.2">
      <c r="B18" s="26"/>
      <c r="C18" s="375"/>
      <c r="D18" s="380"/>
      <c r="E18" s="26"/>
      <c r="F18" s="26"/>
      <c r="G18" s="26"/>
      <c r="H18" s="16"/>
      <c r="I18" s="16"/>
      <c r="J18" s="16"/>
      <c r="K18" s="16"/>
      <c r="L18" s="36"/>
      <c r="M18" s="30"/>
      <c r="N18" s="17"/>
      <c r="O18" s="37"/>
      <c r="P18" s="384"/>
      <c r="Q18" s="385"/>
      <c r="R18" s="38"/>
      <c r="S18" s="39"/>
      <c r="T18" s="39"/>
      <c r="U18" s="39"/>
      <c r="V18" s="40"/>
      <c r="W18" s="41"/>
      <c r="X18" s="19"/>
      <c r="Y18" s="19"/>
      <c r="Z18" s="42"/>
      <c r="AA18" s="42"/>
      <c r="AB18" s="42"/>
      <c r="AC18" s="17"/>
      <c r="AD18" s="43"/>
      <c r="AE18" s="80"/>
      <c r="AF18" s="44"/>
      <c r="AG18" s="32">
        <f t="shared" ref="AG18:AG27" si="0">IF(Z18=$AG$4,X18,0)</f>
        <v>0</v>
      </c>
      <c r="AH18" s="32">
        <f t="shared" ref="AH18:AH27" si="1">IF(AA18=$AH$4,X18,0)</f>
        <v>0</v>
      </c>
      <c r="AI18" s="47"/>
      <c r="AJ18" s="17"/>
    </row>
    <row r="19" spans="2:37" customFormat="1" ht="26" hidden="1" customHeight="1" x14ac:dyDescent="0.2">
      <c r="B19" s="26"/>
      <c r="C19" s="375"/>
      <c r="D19" s="380"/>
      <c r="E19" s="26"/>
      <c r="F19" s="26"/>
      <c r="G19" s="26"/>
      <c r="H19" s="16"/>
      <c r="I19" s="16"/>
      <c r="J19" s="16"/>
      <c r="K19" s="16"/>
      <c r="L19" s="36"/>
      <c r="M19" s="30"/>
      <c r="N19" s="17"/>
      <c r="O19" s="37"/>
      <c r="P19" s="384"/>
      <c r="Q19" s="385"/>
      <c r="R19" s="38"/>
      <c r="S19" s="39"/>
      <c r="T19" s="39"/>
      <c r="U19" s="39"/>
      <c r="V19" s="40"/>
      <c r="W19" s="41"/>
      <c r="X19" s="19"/>
      <c r="Y19" s="19"/>
      <c r="Z19" s="42"/>
      <c r="AA19" s="42"/>
      <c r="AB19" s="42"/>
      <c r="AC19" s="17"/>
      <c r="AD19" s="43"/>
      <c r="AE19" s="80"/>
      <c r="AF19" s="44"/>
      <c r="AG19" s="32">
        <f t="shared" si="0"/>
        <v>0</v>
      </c>
      <c r="AH19" s="32">
        <f t="shared" si="1"/>
        <v>0</v>
      </c>
      <c r="AI19" s="47"/>
      <c r="AJ19" s="17"/>
    </row>
    <row r="20" spans="2:37" customFormat="1" ht="26" hidden="1" customHeight="1" x14ac:dyDescent="0.2">
      <c r="B20" s="26"/>
      <c r="C20" s="375"/>
      <c r="D20" s="380"/>
      <c r="E20" s="26"/>
      <c r="F20" s="26"/>
      <c r="G20" s="26"/>
      <c r="H20" s="16"/>
      <c r="I20" s="16"/>
      <c r="J20" s="16"/>
      <c r="K20" s="16"/>
      <c r="L20" s="36"/>
      <c r="M20" s="30"/>
      <c r="N20" s="17"/>
      <c r="O20" s="37"/>
      <c r="P20" s="384"/>
      <c r="Q20" s="385"/>
      <c r="R20" s="38"/>
      <c r="S20" s="39"/>
      <c r="T20" s="39"/>
      <c r="U20" s="39"/>
      <c r="V20" s="40"/>
      <c r="W20" s="41"/>
      <c r="X20" s="19"/>
      <c r="Y20" s="19"/>
      <c r="Z20" s="42"/>
      <c r="AA20" s="42"/>
      <c r="AB20" s="42"/>
      <c r="AC20" s="17"/>
      <c r="AD20" s="43"/>
      <c r="AE20" s="80"/>
      <c r="AF20" s="44"/>
      <c r="AG20" s="32">
        <f t="shared" si="0"/>
        <v>0</v>
      </c>
      <c r="AH20" s="32">
        <f t="shared" si="1"/>
        <v>0</v>
      </c>
      <c r="AI20" s="47"/>
      <c r="AJ20" s="17"/>
    </row>
    <row r="21" spans="2:37" customFormat="1" ht="26" hidden="1" customHeight="1" x14ac:dyDescent="0.2">
      <c r="B21" s="26"/>
      <c r="C21" s="375"/>
      <c r="D21" s="380"/>
      <c r="E21" s="26"/>
      <c r="F21" s="26"/>
      <c r="G21" s="26"/>
      <c r="H21" s="16"/>
      <c r="I21" s="16"/>
      <c r="J21" s="16"/>
      <c r="K21" s="16"/>
      <c r="L21" s="36"/>
      <c r="M21" s="30"/>
      <c r="N21" s="17"/>
      <c r="O21" s="37"/>
      <c r="P21" s="384"/>
      <c r="Q21" s="385"/>
      <c r="R21" s="38"/>
      <c r="S21" s="39"/>
      <c r="T21" s="39"/>
      <c r="U21" s="39"/>
      <c r="V21" s="40"/>
      <c r="W21" s="41"/>
      <c r="X21" s="19"/>
      <c r="Y21" s="19"/>
      <c r="Z21" s="42"/>
      <c r="AA21" s="42"/>
      <c r="AB21" s="42"/>
      <c r="AC21" s="17"/>
      <c r="AD21" s="43"/>
      <c r="AE21" s="80"/>
      <c r="AF21" s="44"/>
      <c r="AG21" s="32">
        <f t="shared" si="0"/>
        <v>0</v>
      </c>
      <c r="AH21" s="32">
        <f t="shared" si="1"/>
        <v>0</v>
      </c>
      <c r="AI21" s="47"/>
      <c r="AJ21" s="17"/>
    </row>
    <row r="22" spans="2:37" customFormat="1" ht="26" hidden="1" customHeight="1" x14ac:dyDescent="0.2">
      <c r="B22" s="26"/>
      <c r="C22" s="375"/>
      <c r="D22" s="380"/>
      <c r="E22" s="26"/>
      <c r="F22" s="26"/>
      <c r="G22" s="26"/>
      <c r="H22" s="16"/>
      <c r="I22" s="16"/>
      <c r="J22" s="16"/>
      <c r="K22" s="16"/>
      <c r="L22" s="36"/>
      <c r="M22" s="30"/>
      <c r="N22" s="17"/>
      <c r="O22" s="37"/>
      <c r="P22" s="384"/>
      <c r="Q22" s="385"/>
      <c r="R22" s="38"/>
      <c r="S22" s="39"/>
      <c r="T22" s="39"/>
      <c r="U22" s="39"/>
      <c r="V22" s="40"/>
      <c r="W22" s="41"/>
      <c r="X22" s="19"/>
      <c r="Y22" s="19"/>
      <c r="Z22" s="42"/>
      <c r="AA22" s="42"/>
      <c r="AB22" s="42"/>
      <c r="AC22" s="17"/>
      <c r="AD22" s="43"/>
      <c r="AE22" s="80"/>
      <c r="AF22" s="44"/>
      <c r="AG22" s="32">
        <f t="shared" si="0"/>
        <v>0</v>
      </c>
      <c r="AH22" s="32">
        <f t="shared" si="1"/>
        <v>0</v>
      </c>
      <c r="AI22" s="47"/>
      <c r="AJ22" s="17"/>
    </row>
    <row r="23" spans="2:37" customFormat="1" ht="26" hidden="1" customHeight="1" x14ac:dyDescent="0.2">
      <c r="B23" s="26"/>
      <c r="C23" s="375"/>
      <c r="D23" s="380"/>
      <c r="E23" s="26"/>
      <c r="F23" s="26"/>
      <c r="G23" s="26"/>
      <c r="H23" s="16"/>
      <c r="I23" s="16"/>
      <c r="J23" s="16"/>
      <c r="K23" s="16"/>
      <c r="L23" s="36"/>
      <c r="M23" s="30"/>
      <c r="N23" s="17"/>
      <c r="O23" s="37"/>
      <c r="P23" s="384"/>
      <c r="Q23" s="385"/>
      <c r="R23" s="38"/>
      <c r="S23" s="39"/>
      <c r="T23" s="39"/>
      <c r="U23" s="39"/>
      <c r="V23" s="40"/>
      <c r="W23" s="41"/>
      <c r="X23" s="19"/>
      <c r="Y23" s="19"/>
      <c r="Z23" s="42"/>
      <c r="AA23" s="42"/>
      <c r="AB23" s="42"/>
      <c r="AC23" s="17"/>
      <c r="AD23" s="43"/>
      <c r="AE23" s="80"/>
      <c r="AF23" s="44"/>
      <c r="AG23" s="32">
        <f t="shared" si="0"/>
        <v>0</v>
      </c>
      <c r="AH23" s="32">
        <f t="shared" si="1"/>
        <v>0</v>
      </c>
      <c r="AI23" s="47"/>
      <c r="AJ23" s="17"/>
    </row>
    <row r="24" spans="2:37" customFormat="1" ht="26" hidden="1" customHeight="1" x14ac:dyDescent="0.2">
      <c r="B24" s="26"/>
      <c r="C24" s="375"/>
      <c r="D24" s="380"/>
      <c r="E24" s="26"/>
      <c r="F24" s="26"/>
      <c r="G24" s="26"/>
      <c r="H24" s="16"/>
      <c r="I24" s="16"/>
      <c r="J24" s="16"/>
      <c r="K24" s="16"/>
      <c r="L24" s="36"/>
      <c r="M24" s="30"/>
      <c r="N24" s="17"/>
      <c r="O24" s="37"/>
      <c r="P24" s="384"/>
      <c r="Q24" s="385"/>
      <c r="R24" s="38"/>
      <c r="S24" s="39"/>
      <c r="T24" s="39"/>
      <c r="U24" s="39"/>
      <c r="V24" s="40"/>
      <c r="W24" s="41"/>
      <c r="X24" s="19"/>
      <c r="Y24" s="19"/>
      <c r="Z24" s="42"/>
      <c r="AA24" s="42"/>
      <c r="AB24" s="42"/>
      <c r="AC24" s="17"/>
      <c r="AD24" s="43"/>
      <c r="AE24" s="80"/>
      <c r="AF24" s="44"/>
      <c r="AG24" s="32">
        <f t="shared" si="0"/>
        <v>0</v>
      </c>
      <c r="AH24" s="32">
        <f t="shared" si="1"/>
        <v>0</v>
      </c>
      <c r="AI24" s="47"/>
      <c r="AJ24" s="17"/>
    </row>
    <row r="25" spans="2:37" customFormat="1" ht="26" hidden="1" customHeight="1" x14ac:dyDescent="0.2">
      <c r="B25" s="26"/>
      <c r="C25" s="375"/>
      <c r="D25" s="380"/>
      <c r="E25" s="26"/>
      <c r="F25" s="26"/>
      <c r="G25" s="26"/>
      <c r="H25" s="16"/>
      <c r="I25" s="16"/>
      <c r="J25" s="16"/>
      <c r="K25" s="16"/>
      <c r="L25" s="36"/>
      <c r="M25" s="30"/>
      <c r="N25" s="17"/>
      <c r="O25" s="37"/>
      <c r="P25" s="384"/>
      <c r="Q25" s="385"/>
      <c r="R25" s="38"/>
      <c r="S25" s="39"/>
      <c r="T25" s="39"/>
      <c r="U25" s="39"/>
      <c r="V25" s="40"/>
      <c r="W25" s="41"/>
      <c r="X25" s="19"/>
      <c r="Y25" s="19"/>
      <c r="Z25" s="42"/>
      <c r="AA25" s="42"/>
      <c r="AB25" s="42"/>
      <c r="AC25" s="17"/>
      <c r="AD25" s="43"/>
      <c r="AE25" s="80"/>
      <c r="AF25" s="44"/>
      <c r="AG25" s="32">
        <f t="shared" si="0"/>
        <v>0</v>
      </c>
      <c r="AH25" s="32">
        <f t="shared" si="1"/>
        <v>0</v>
      </c>
      <c r="AI25" s="47"/>
      <c r="AJ25" s="17"/>
    </row>
    <row r="26" spans="2:37" customFormat="1" ht="26" hidden="1" customHeight="1" x14ac:dyDescent="0.2">
      <c r="B26" s="26"/>
      <c r="C26" s="375"/>
      <c r="D26" s="380"/>
      <c r="E26" s="26"/>
      <c r="F26" s="26"/>
      <c r="G26" s="26"/>
      <c r="H26" s="16"/>
      <c r="I26" s="16"/>
      <c r="J26" s="16"/>
      <c r="K26" s="16"/>
      <c r="L26" s="36"/>
      <c r="M26" s="30"/>
      <c r="N26" s="17"/>
      <c r="O26" s="37"/>
      <c r="P26" s="384"/>
      <c r="Q26" s="385"/>
      <c r="R26" s="38"/>
      <c r="S26" s="39"/>
      <c r="T26" s="39"/>
      <c r="U26" s="39"/>
      <c r="V26" s="40"/>
      <c r="W26" s="41"/>
      <c r="X26" s="19"/>
      <c r="Y26" s="19"/>
      <c r="Z26" s="42"/>
      <c r="AA26" s="42"/>
      <c r="AB26" s="42"/>
      <c r="AC26" s="17"/>
      <c r="AD26" s="43"/>
      <c r="AE26" s="80"/>
      <c r="AF26" s="44"/>
      <c r="AG26" s="32">
        <f t="shared" si="0"/>
        <v>0</v>
      </c>
      <c r="AH26" s="32">
        <f t="shared" si="1"/>
        <v>0</v>
      </c>
      <c r="AI26" s="47"/>
      <c r="AJ26" s="17"/>
    </row>
    <row r="27" spans="2:37" customFormat="1" ht="26" hidden="1" customHeight="1" x14ac:dyDescent="0.2">
      <c r="B27" s="26"/>
      <c r="C27" s="375"/>
      <c r="D27" s="380"/>
      <c r="E27" s="26"/>
      <c r="F27" s="26"/>
      <c r="G27" s="26"/>
      <c r="H27" s="16"/>
      <c r="I27" s="16"/>
      <c r="J27" s="16"/>
      <c r="K27" s="16"/>
      <c r="L27" s="36"/>
      <c r="M27" s="30"/>
      <c r="N27" s="17"/>
      <c r="O27" s="37"/>
      <c r="P27" s="384"/>
      <c r="Q27" s="385"/>
      <c r="R27" s="38"/>
      <c r="S27" s="39"/>
      <c r="T27" s="39"/>
      <c r="U27" s="39"/>
      <c r="V27" s="40"/>
      <c r="W27" s="41"/>
      <c r="X27" s="19"/>
      <c r="Y27" s="19"/>
      <c r="Z27" s="42"/>
      <c r="AA27" s="42"/>
      <c r="AB27" s="42"/>
      <c r="AC27" s="17"/>
      <c r="AD27" s="43"/>
      <c r="AE27" s="80"/>
      <c r="AF27" s="44"/>
      <c r="AG27" s="32">
        <f t="shared" si="0"/>
        <v>0</v>
      </c>
      <c r="AH27" s="32">
        <f t="shared" si="1"/>
        <v>0</v>
      </c>
      <c r="AI27" s="47" t="s">
        <v>23</v>
      </c>
      <c r="AJ27" s="17"/>
    </row>
    <row r="28" spans="2:37" ht="32" hidden="1" customHeight="1" x14ac:dyDescent="0.2">
      <c r="O28" s="81" t="s">
        <v>135</v>
      </c>
      <c r="P28" s="386"/>
      <c r="Q28" s="386"/>
      <c r="R28" s="82"/>
      <c r="S28" s="232" t="s">
        <v>28</v>
      </c>
      <c r="T28" s="284"/>
      <c r="U28" s="284"/>
      <c r="V28" s="84"/>
      <c r="W28" s="84"/>
      <c r="X28" s="84"/>
      <c r="Y28" s="84"/>
      <c r="Z28" s="84"/>
      <c r="AA28" s="84"/>
      <c r="AB28" s="84"/>
      <c r="AC28" s="84"/>
      <c r="AD28" s="84"/>
      <c r="AE28" s="85">
        <f>SUM(AE6:AE9)</f>
        <v>0</v>
      </c>
      <c r="AF28" s="33" t="s">
        <v>37</v>
      </c>
      <c r="AJ28" s="84"/>
    </row>
    <row r="29" spans="2:37" hidden="1" x14ac:dyDescent="0.2">
      <c r="S29" s="34"/>
      <c r="T29" s="34"/>
      <c r="U29" s="34"/>
      <c r="AE29" s="35"/>
    </row>
    <row r="30" spans="2:37" ht="207" customHeight="1" x14ac:dyDescent="0.2">
      <c r="B30" s="78"/>
      <c r="C30" s="249"/>
      <c r="D30" s="378"/>
      <c r="E30" s="78"/>
      <c r="F30" s="78"/>
      <c r="G30" s="78"/>
      <c r="H30" s="78"/>
      <c r="I30" s="78"/>
      <c r="J30" s="78"/>
      <c r="K30" s="78"/>
      <c r="L30" s="78"/>
      <c r="M30" s="78"/>
      <c r="N30" s="247" t="s">
        <v>661</v>
      </c>
      <c r="O30" s="383" t="s">
        <v>353</v>
      </c>
      <c r="P30" s="383"/>
      <c r="Q30" s="383"/>
      <c r="R30" s="78"/>
      <c r="S30" s="249"/>
      <c r="T30" s="249"/>
      <c r="U30" s="249"/>
      <c r="V30" s="78"/>
      <c r="W30" s="78"/>
      <c r="X30" s="78"/>
      <c r="Y30" s="78"/>
      <c r="Z30" s="78"/>
      <c r="AA30" s="78"/>
      <c r="AB30" s="78"/>
      <c r="AC30" s="78"/>
      <c r="AD30" s="78"/>
      <c r="AE30" s="250"/>
      <c r="AJ30" s="78"/>
    </row>
    <row r="31" spans="2:37" ht="19" thickBot="1" x14ac:dyDescent="0.25">
      <c r="B31" s="78"/>
      <c r="C31" s="249"/>
      <c r="D31" s="3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383"/>
      <c r="Q31" s="383"/>
      <c r="R31" s="78"/>
      <c r="S31" s="78"/>
      <c r="T31" s="78"/>
      <c r="U31" s="28"/>
      <c r="V31" s="28"/>
      <c r="W31" s="28"/>
      <c r="X31" s="28"/>
      <c r="Y31" s="28"/>
      <c r="Z31" s="28"/>
      <c r="AA31" s="28"/>
      <c r="AB31" s="28"/>
      <c r="AC31" s="78"/>
      <c r="AD31" s="28"/>
      <c r="AE31" s="78"/>
      <c r="AJ31" s="78"/>
    </row>
    <row r="32" spans="2:37" ht="57" x14ac:dyDescent="0.2">
      <c r="B32" s="287" t="s">
        <v>153</v>
      </c>
      <c r="C32" s="1012" t="s">
        <v>383</v>
      </c>
      <c r="D32" s="1012"/>
      <c r="E32" s="518" t="s">
        <v>154</v>
      </c>
      <c r="F32" s="518" t="s">
        <v>142</v>
      </c>
      <c r="G32" s="518" t="s">
        <v>146</v>
      </c>
      <c r="H32" s="519" t="s">
        <v>26</v>
      </c>
      <c r="I32" s="519" t="s">
        <v>27</v>
      </c>
      <c r="J32" s="519" t="s">
        <v>33</v>
      </c>
      <c r="K32" s="519"/>
      <c r="L32" s="517" t="s">
        <v>1</v>
      </c>
      <c r="M32" s="520"/>
      <c r="N32" s="521" t="s">
        <v>3</v>
      </c>
      <c r="O32" s="522" t="s">
        <v>4</v>
      </c>
      <c r="P32" s="522"/>
      <c r="Q32" s="522" t="s">
        <v>5</v>
      </c>
      <c r="R32" s="523" t="s">
        <v>409</v>
      </c>
      <c r="S32" s="524" t="s">
        <v>384</v>
      </c>
      <c r="T32" s="524" t="s">
        <v>157</v>
      </c>
      <c r="U32" s="525" t="s">
        <v>158</v>
      </c>
      <c r="V32" s="526" t="s">
        <v>102</v>
      </c>
      <c r="W32" s="527" t="s">
        <v>156</v>
      </c>
      <c r="X32" s="528" t="s">
        <v>9</v>
      </c>
      <c r="Y32" s="528" t="s">
        <v>10</v>
      </c>
      <c r="Z32" s="519" t="s">
        <v>11</v>
      </c>
      <c r="AA32" s="519" t="s">
        <v>15</v>
      </c>
      <c r="AB32" s="519"/>
      <c r="AC32" s="519" t="s">
        <v>17</v>
      </c>
      <c r="AD32" s="519" t="s">
        <v>19</v>
      </c>
      <c r="AE32" s="524" t="s">
        <v>385</v>
      </c>
      <c r="AF32" s="529" t="s">
        <v>20</v>
      </c>
      <c r="AG32" s="529" t="s">
        <v>16</v>
      </c>
      <c r="AH32" s="529"/>
      <c r="AI32" s="529" t="s">
        <v>22</v>
      </c>
      <c r="AJ32" s="519" t="s">
        <v>17</v>
      </c>
      <c r="AK32" s="524" t="s">
        <v>390</v>
      </c>
    </row>
    <row r="33" spans="1:37" s="172" customFormat="1" ht="35" customHeight="1" x14ac:dyDescent="0.25">
      <c r="A33" s="316"/>
      <c r="B33" s="371"/>
      <c r="C33" s="400" t="s">
        <v>637</v>
      </c>
      <c r="D33" s="401" t="s">
        <v>197</v>
      </c>
      <c r="E33" s="399" t="s">
        <v>446</v>
      </c>
      <c r="F33" s="26" t="s">
        <v>144</v>
      </c>
      <c r="G33" s="26" t="s">
        <v>18</v>
      </c>
      <c r="H33" s="16" t="s">
        <v>659</v>
      </c>
      <c r="I33" s="16" t="s">
        <v>660</v>
      </c>
      <c r="J33" s="16"/>
      <c r="K33" s="16"/>
      <c r="L33" s="36">
        <v>46037</v>
      </c>
      <c r="M33" s="30">
        <v>46037</v>
      </c>
      <c r="N33" s="17" t="s">
        <v>614</v>
      </c>
      <c r="O33" s="37" t="s">
        <v>602</v>
      </c>
      <c r="P33" s="577" t="s">
        <v>60</v>
      </c>
      <c r="Q33" s="578" t="s">
        <v>115</v>
      </c>
      <c r="R33" s="38"/>
      <c r="S33" s="39">
        <v>36</v>
      </c>
      <c r="T33" s="39">
        <v>36</v>
      </c>
      <c r="U33" s="39">
        <v>0</v>
      </c>
      <c r="V33" s="40">
        <v>46041</v>
      </c>
      <c r="W33" s="41">
        <v>46041</v>
      </c>
      <c r="X33" s="19">
        <v>36</v>
      </c>
      <c r="Y33" s="19">
        <v>0</v>
      </c>
      <c r="Z33" s="42" t="s">
        <v>447</v>
      </c>
      <c r="AA33" s="42" t="s">
        <v>18</v>
      </c>
      <c r="AB33" s="42" t="s">
        <v>382</v>
      </c>
      <c r="AC33" s="17"/>
      <c r="AD33" s="42" t="s">
        <v>353</v>
      </c>
      <c r="AE33" s="242">
        <v>36</v>
      </c>
      <c r="AF33" s="179"/>
      <c r="AG33" s="180">
        <v>0</v>
      </c>
      <c r="AH33" s="181">
        <v>0</v>
      </c>
      <c r="AI33" s="179"/>
      <c r="AJ33" s="398"/>
      <c r="AK33" s="530"/>
    </row>
    <row r="34" spans="1:37" s="172" customFormat="1" ht="35" customHeight="1" x14ac:dyDescent="0.25">
      <c r="A34" s="316"/>
      <c r="B34" s="645"/>
      <c r="C34" s="400" t="s">
        <v>637</v>
      </c>
      <c r="D34" s="401" t="s">
        <v>249</v>
      </c>
      <c r="E34" s="399" t="s">
        <v>542</v>
      </c>
      <c r="F34" s="26" t="s">
        <v>144</v>
      </c>
      <c r="G34" s="26" t="s">
        <v>18</v>
      </c>
      <c r="H34" s="16" t="s">
        <v>648</v>
      </c>
      <c r="I34" s="16" t="s">
        <v>650</v>
      </c>
      <c r="J34" s="16"/>
      <c r="K34" s="16"/>
      <c r="L34" s="36">
        <v>46044</v>
      </c>
      <c r="M34" s="30">
        <v>46044</v>
      </c>
      <c r="N34" s="17" t="s">
        <v>551</v>
      </c>
      <c r="O34" s="37" t="s">
        <v>134</v>
      </c>
      <c r="P34" s="577" t="s">
        <v>60</v>
      </c>
      <c r="Q34" s="578" t="s">
        <v>115</v>
      </c>
      <c r="R34" s="38"/>
      <c r="S34" s="39">
        <v>46.14</v>
      </c>
      <c r="T34" s="39">
        <v>46.14</v>
      </c>
      <c r="U34" s="39">
        <v>0</v>
      </c>
      <c r="V34" s="40">
        <v>46044</v>
      </c>
      <c r="W34" s="41">
        <v>46044</v>
      </c>
      <c r="X34" s="19">
        <v>46.14</v>
      </c>
      <c r="Y34" s="19">
        <v>0</v>
      </c>
      <c r="Z34" s="42" t="s">
        <v>14</v>
      </c>
      <c r="AA34" s="42" t="s">
        <v>18</v>
      </c>
      <c r="AB34" s="42" t="s">
        <v>382</v>
      </c>
      <c r="AC34" s="17"/>
      <c r="AD34" s="42" t="s">
        <v>353</v>
      </c>
      <c r="AE34" s="242">
        <v>46.14</v>
      </c>
      <c r="AF34" s="179"/>
      <c r="AG34" s="180">
        <v>46.14</v>
      </c>
      <c r="AH34" s="181">
        <v>0</v>
      </c>
      <c r="AI34" s="179" t="s">
        <v>58</v>
      </c>
      <c r="AJ34" s="398"/>
      <c r="AK34" s="530"/>
    </row>
    <row r="35" spans="1:37" s="172" customFormat="1" ht="35" customHeight="1" x14ac:dyDescent="0.25">
      <c r="A35" s="316"/>
      <c r="B35" s="645"/>
      <c r="C35" s="400" t="s">
        <v>637</v>
      </c>
      <c r="D35" s="401" t="s">
        <v>250</v>
      </c>
      <c r="E35" s="399" t="s">
        <v>542</v>
      </c>
      <c r="F35" s="26" t="s">
        <v>144</v>
      </c>
      <c r="G35" s="26" t="s">
        <v>18</v>
      </c>
      <c r="H35" s="16" t="s">
        <v>651</v>
      </c>
      <c r="I35" s="16" t="s">
        <v>652</v>
      </c>
      <c r="J35" s="16"/>
      <c r="K35" s="16"/>
      <c r="L35" s="36">
        <v>46044</v>
      </c>
      <c r="M35" s="30">
        <v>46044</v>
      </c>
      <c r="N35" s="17" t="s">
        <v>551</v>
      </c>
      <c r="O35" s="37" t="s">
        <v>134</v>
      </c>
      <c r="P35" s="577" t="s">
        <v>60</v>
      </c>
      <c r="Q35" s="578" t="s">
        <v>115</v>
      </c>
      <c r="R35" s="38"/>
      <c r="S35" s="39">
        <v>51.29</v>
      </c>
      <c r="T35" s="39">
        <v>51.29</v>
      </c>
      <c r="U35" s="39">
        <v>0</v>
      </c>
      <c r="V35" s="40">
        <v>46044</v>
      </c>
      <c r="W35" s="41">
        <v>46044</v>
      </c>
      <c r="X35" s="19">
        <v>51.29</v>
      </c>
      <c r="Y35" s="19">
        <v>0</v>
      </c>
      <c r="Z35" s="42" t="s">
        <v>14</v>
      </c>
      <c r="AA35" s="42" t="s">
        <v>18</v>
      </c>
      <c r="AB35" s="42" t="s">
        <v>382</v>
      </c>
      <c r="AC35" s="17"/>
      <c r="AD35" s="42" t="s">
        <v>353</v>
      </c>
      <c r="AE35" s="242">
        <v>51.29</v>
      </c>
      <c r="AF35" s="179"/>
      <c r="AG35" s="180">
        <v>51.29</v>
      </c>
      <c r="AH35" s="181">
        <v>0</v>
      </c>
      <c r="AI35" s="179" t="s">
        <v>58</v>
      </c>
      <c r="AJ35" s="398"/>
      <c r="AK35" s="530"/>
    </row>
    <row r="36" spans="1:37" s="172" customFormat="1" ht="35" customHeight="1" x14ac:dyDescent="0.25">
      <c r="A36" s="316"/>
      <c r="B36" s="645"/>
      <c r="C36" s="400" t="s">
        <v>637</v>
      </c>
      <c r="D36" s="401" t="s">
        <v>251</v>
      </c>
      <c r="E36" s="399" t="s">
        <v>542</v>
      </c>
      <c r="F36" s="26" t="s">
        <v>144</v>
      </c>
      <c r="G36" s="26" t="s">
        <v>18</v>
      </c>
      <c r="H36" s="16" t="s">
        <v>653</v>
      </c>
      <c r="I36" s="16" t="s">
        <v>656</v>
      </c>
      <c r="J36" s="16"/>
      <c r="K36" s="16"/>
      <c r="L36" s="36">
        <v>46034</v>
      </c>
      <c r="M36" s="30">
        <v>46034</v>
      </c>
      <c r="N36" s="17" t="s">
        <v>551</v>
      </c>
      <c r="O36" s="37" t="s">
        <v>134</v>
      </c>
      <c r="P36" s="577" t="s">
        <v>60</v>
      </c>
      <c r="Q36" s="578" t="s">
        <v>115</v>
      </c>
      <c r="R36" s="38"/>
      <c r="S36" s="39">
        <v>50.5</v>
      </c>
      <c r="T36" s="39">
        <v>50.5</v>
      </c>
      <c r="U36" s="39">
        <v>0</v>
      </c>
      <c r="V36" s="40">
        <v>46034</v>
      </c>
      <c r="W36" s="41">
        <v>46034</v>
      </c>
      <c r="X36" s="19">
        <v>50.5</v>
      </c>
      <c r="Y36" s="19">
        <v>0</v>
      </c>
      <c r="Z36" s="42" t="s">
        <v>14</v>
      </c>
      <c r="AA36" s="42" t="s">
        <v>18</v>
      </c>
      <c r="AB36" s="42" t="s">
        <v>382</v>
      </c>
      <c r="AC36" s="17"/>
      <c r="AD36" s="42" t="s">
        <v>353</v>
      </c>
      <c r="AE36" s="242">
        <v>50.5</v>
      </c>
      <c r="AF36" s="179"/>
      <c r="AG36" s="180">
        <v>50.5</v>
      </c>
      <c r="AH36" s="181">
        <v>0</v>
      </c>
      <c r="AI36" s="179" t="s">
        <v>104</v>
      </c>
      <c r="AJ36" s="398"/>
      <c r="AK36" s="530"/>
    </row>
    <row r="37" spans="1:37" s="533" customFormat="1" ht="35" customHeight="1" x14ac:dyDescent="0.25">
      <c r="A37" s="316"/>
      <c r="B37" s="645"/>
      <c r="C37" s="400" t="s">
        <v>637</v>
      </c>
      <c r="D37" s="401" t="s">
        <v>252</v>
      </c>
      <c r="E37" s="399" t="s">
        <v>542</v>
      </c>
      <c r="F37" s="26" t="s">
        <v>144</v>
      </c>
      <c r="G37" s="26" t="s">
        <v>18</v>
      </c>
      <c r="H37" s="16" t="s">
        <v>654</v>
      </c>
      <c r="I37" s="16" t="s">
        <v>657</v>
      </c>
      <c r="J37" s="16"/>
      <c r="K37" s="16"/>
      <c r="L37" s="36">
        <v>46051</v>
      </c>
      <c r="M37" s="30">
        <v>46051</v>
      </c>
      <c r="N37" s="17" t="s">
        <v>551</v>
      </c>
      <c r="O37" s="37" t="s">
        <v>134</v>
      </c>
      <c r="P37" s="577" t="s">
        <v>60</v>
      </c>
      <c r="Q37" s="578" t="s">
        <v>115</v>
      </c>
      <c r="R37" s="38"/>
      <c r="S37" s="39">
        <v>50.06</v>
      </c>
      <c r="T37" s="39">
        <v>50.06</v>
      </c>
      <c r="U37" s="39">
        <v>0</v>
      </c>
      <c r="V37" s="40">
        <v>46051</v>
      </c>
      <c r="W37" s="41">
        <v>46051</v>
      </c>
      <c r="X37" s="19">
        <v>50.06</v>
      </c>
      <c r="Y37" s="19">
        <v>0</v>
      </c>
      <c r="Z37" s="42" t="s">
        <v>14</v>
      </c>
      <c r="AA37" s="42" t="s">
        <v>18</v>
      </c>
      <c r="AB37" s="42" t="s">
        <v>382</v>
      </c>
      <c r="AC37" s="17"/>
      <c r="AD37" s="42" t="s">
        <v>353</v>
      </c>
      <c r="AE37" s="242">
        <v>50.06</v>
      </c>
      <c r="AF37" s="179"/>
      <c r="AG37" s="180">
        <v>50.06</v>
      </c>
      <c r="AH37" s="181">
        <v>0</v>
      </c>
      <c r="AI37" s="179" t="s">
        <v>104</v>
      </c>
      <c r="AJ37" s="398"/>
      <c r="AK37" s="530"/>
    </row>
    <row r="38" spans="1:37" s="172" customFormat="1" ht="35" customHeight="1" x14ac:dyDescent="0.25">
      <c r="A38" s="316"/>
      <c r="B38" s="645"/>
      <c r="C38" s="400" t="s">
        <v>637</v>
      </c>
      <c r="D38" s="401" t="s">
        <v>253</v>
      </c>
      <c r="E38" s="399" t="s">
        <v>542</v>
      </c>
      <c r="F38" s="26" t="s">
        <v>144</v>
      </c>
      <c r="G38" s="26" t="s">
        <v>18</v>
      </c>
      <c r="H38" s="16" t="s">
        <v>655</v>
      </c>
      <c r="I38" s="16" t="s">
        <v>658</v>
      </c>
      <c r="J38" s="16"/>
      <c r="K38" s="16"/>
      <c r="L38" s="36">
        <v>46048</v>
      </c>
      <c r="M38" s="30">
        <v>46048</v>
      </c>
      <c r="N38" s="17" t="s">
        <v>551</v>
      </c>
      <c r="O38" s="37" t="s">
        <v>134</v>
      </c>
      <c r="P38" s="577" t="s">
        <v>60</v>
      </c>
      <c r="Q38" s="578" t="s">
        <v>115</v>
      </c>
      <c r="R38" s="38"/>
      <c r="S38" s="39">
        <v>50.25</v>
      </c>
      <c r="T38" s="39">
        <v>50.25</v>
      </c>
      <c r="U38" s="39">
        <v>0</v>
      </c>
      <c r="V38" s="40">
        <v>46048</v>
      </c>
      <c r="W38" s="41">
        <v>46048</v>
      </c>
      <c r="X38" s="19">
        <v>50.25</v>
      </c>
      <c r="Y38" s="19">
        <v>0</v>
      </c>
      <c r="Z38" s="42" t="s">
        <v>14</v>
      </c>
      <c r="AA38" s="42" t="s">
        <v>18</v>
      </c>
      <c r="AB38" s="42" t="s">
        <v>382</v>
      </c>
      <c r="AC38" s="17"/>
      <c r="AD38" s="42" t="s">
        <v>353</v>
      </c>
      <c r="AE38" s="242">
        <v>50.25</v>
      </c>
      <c r="AF38" s="179"/>
      <c r="AG38" s="180">
        <v>50.25</v>
      </c>
      <c r="AH38" s="181">
        <v>0</v>
      </c>
      <c r="AI38" s="179" t="s">
        <v>104</v>
      </c>
      <c r="AJ38" s="398"/>
      <c r="AK38" s="530"/>
    </row>
    <row r="39" spans="1:37" s="172" customFormat="1" ht="31" hidden="1" customHeight="1" x14ac:dyDescent="0.25">
      <c r="A39" s="316"/>
      <c r="B39" s="290"/>
      <c r="C39" s="400"/>
      <c r="D39" s="401"/>
      <c r="E39" s="399"/>
      <c r="F39" s="26"/>
      <c r="G39" s="26"/>
      <c r="H39" s="16"/>
      <c r="I39" s="16"/>
      <c r="J39" s="16"/>
      <c r="K39" s="16"/>
      <c r="L39" s="36"/>
      <c r="M39" s="30"/>
      <c r="N39" s="17"/>
      <c r="O39" s="37"/>
      <c r="P39" s="577"/>
      <c r="Q39" s="578"/>
      <c r="R39" s="38"/>
      <c r="S39" s="39"/>
      <c r="T39" s="39"/>
      <c r="U39" s="39"/>
      <c r="V39" s="40"/>
      <c r="W39" s="41"/>
      <c r="X39" s="19"/>
      <c r="Y39" s="19"/>
      <c r="Z39" s="42"/>
      <c r="AA39" s="42"/>
      <c r="AB39" s="42"/>
      <c r="AC39" s="17"/>
      <c r="AD39" s="42"/>
      <c r="AE39" s="242"/>
      <c r="AF39" s="179"/>
      <c r="AG39" s="180"/>
      <c r="AH39" s="181"/>
      <c r="AI39" s="179"/>
      <c r="AJ39" s="398"/>
      <c r="AK39" s="530"/>
    </row>
    <row r="40" spans="1:37" s="172" customFormat="1" ht="31" hidden="1" customHeight="1" x14ac:dyDescent="0.25">
      <c r="A40" s="316"/>
      <c r="B40" s="645"/>
      <c r="C40" s="400"/>
      <c r="D40" s="401"/>
      <c r="E40" s="399"/>
      <c r="F40" s="26"/>
      <c r="G40" s="26"/>
      <c r="H40" s="16"/>
      <c r="I40" s="16"/>
      <c r="J40" s="16"/>
      <c r="K40" s="16"/>
      <c r="L40" s="36"/>
      <c r="M40" s="30"/>
      <c r="N40" s="17"/>
      <c r="O40" s="37"/>
      <c r="P40" s="577"/>
      <c r="Q40" s="578"/>
      <c r="R40" s="38"/>
      <c r="S40" s="39"/>
      <c r="T40" s="39"/>
      <c r="U40" s="39"/>
      <c r="V40" s="40"/>
      <c r="W40" s="41"/>
      <c r="X40" s="19"/>
      <c r="Y40" s="19"/>
      <c r="Z40" s="42"/>
      <c r="AA40" s="42"/>
      <c r="AB40" s="42"/>
      <c r="AC40" s="17"/>
      <c r="AD40" s="42"/>
      <c r="AE40" s="242"/>
      <c r="AF40" s="179"/>
      <c r="AG40" s="180"/>
      <c r="AH40" s="181"/>
      <c r="AI40" s="179"/>
      <c r="AJ40" s="398"/>
      <c r="AK40" s="530"/>
    </row>
    <row r="41" spans="1:37" s="172" customFormat="1" ht="31" hidden="1" customHeight="1" x14ac:dyDescent="0.25">
      <c r="A41" s="316"/>
      <c r="B41" s="645"/>
      <c r="C41" s="400"/>
      <c r="D41" s="401"/>
      <c r="E41" s="399"/>
      <c r="F41" s="26"/>
      <c r="G41" s="26"/>
      <c r="H41" s="16"/>
      <c r="I41" s="16"/>
      <c r="J41" s="16"/>
      <c r="K41" s="16"/>
      <c r="L41" s="36"/>
      <c r="M41" s="30"/>
      <c r="N41" s="17"/>
      <c r="O41" s="37"/>
      <c r="P41" s="577"/>
      <c r="Q41" s="578"/>
      <c r="R41" s="38"/>
      <c r="S41" s="39"/>
      <c r="T41" s="39"/>
      <c r="U41" s="39"/>
      <c r="V41" s="40"/>
      <c r="W41" s="41"/>
      <c r="X41" s="19"/>
      <c r="Y41" s="19"/>
      <c r="Z41" s="42"/>
      <c r="AA41" s="42"/>
      <c r="AB41" s="42"/>
      <c r="AC41" s="17"/>
      <c r="AD41" s="42"/>
      <c r="AE41" s="242"/>
      <c r="AF41" s="179"/>
      <c r="AG41" s="180"/>
      <c r="AH41" s="181"/>
      <c r="AI41" s="179"/>
      <c r="AJ41" s="398"/>
      <c r="AK41" s="530"/>
    </row>
    <row r="42" spans="1:37" s="172" customFormat="1" ht="31" hidden="1" customHeight="1" x14ac:dyDescent="0.25">
      <c r="A42" s="316"/>
      <c r="B42" s="645"/>
      <c r="C42" s="400"/>
      <c r="D42" s="401"/>
      <c r="E42" s="399"/>
      <c r="F42" s="26"/>
      <c r="G42" s="26"/>
      <c r="H42" s="16"/>
      <c r="I42" s="16"/>
      <c r="J42" s="16"/>
      <c r="K42" s="16"/>
      <c r="L42" s="36"/>
      <c r="M42" s="30"/>
      <c r="N42" s="17"/>
      <c r="O42" s="37"/>
      <c r="P42" s="577"/>
      <c r="Q42" s="578"/>
      <c r="R42" s="38"/>
      <c r="S42" s="39"/>
      <c r="T42" s="39"/>
      <c r="U42" s="39"/>
      <c r="V42" s="40"/>
      <c r="W42" s="41"/>
      <c r="X42" s="19"/>
      <c r="Y42" s="19"/>
      <c r="Z42" s="42"/>
      <c r="AA42" s="42"/>
      <c r="AB42" s="42"/>
      <c r="AC42" s="17"/>
      <c r="AD42" s="42"/>
      <c r="AE42" s="242"/>
      <c r="AF42" s="179"/>
      <c r="AG42" s="180"/>
      <c r="AH42" s="181"/>
      <c r="AI42" s="179"/>
      <c r="AJ42" s="398"/>
      <c r="AK42" s="530"/>
    </row>
    <row r="43" spans="1:37" s="172" customFormat="1" ht="31" hidden="1" customHeight="1" x14ac:dyDescent="0.25">
      <c r="A43" s="316"/>
      <c r="B43" s="645"/>
      <c r="C43" s="400"/>
      <c r="D43" s="401"/>
      <c r="E43" s="399"/>
      <c r="F43" s="26"/>
      <c r="G43" s="26"/>
      <c r="H43" s="16"/>
      <c r="I43" s="16"/>
      <c r="J43" s="16"/>
      <c r="K43" s="16"/>
      <c r="L43" s="36"/>
      <c r="M43" s="30"/>
      <c r="N43" s="17"/>
      <c r="O43" s="37"/>
      <c r="P43" s="577"/>
      <c r="Q43" s="578"/>
      <c r="R43" s="38"/>
      <c r="S43" s="39"/>
      <c r="T43" s="39"/>
      <c r="U43" s="39"/>
      <c r="V43" s="40"/>
      <c r="W43" s="41"/>
      <c r="X43" s="19"/>
      <c r="Y43" s="19"/>
      <c r="Z43" s="42"/>
      <c r="AA43" s="42"/>
      <c r="AB43" s="42"/>
      <c r="AC43" s="17"/>
      <c r="AD43" s="42"/>
      <c r="AE43" s="242"/>
      <c r="AF43" s="179"/>
      <c r="AG43" s="180"/>
      <c r="AH43" s="181"/>
      <c r="AI43" s="179"/>
      <c r="AJ43" s="398"/>
      <c r="AK43" s="530"/>
    </row>
    <row r="44" spans="1:37" s="172" customFormat="1" ht="31" hidden="1" customHeight="1" x14ac:dyDescent="0.25">
      <c r="A44" s="316"/>
      <c r="B44" s="645"/>
      <c r="C44" s="400"/>
      <c r="D44" s="401"/>
      <c r="E44" s="399"/>
      <c r="F44" s="26"/>
      <c r="G44" s="26"/>
      <c r="H44" s="16"/>
      <c r="I44" s="16"/>
      <c r="J44" s="16"/>
      <c r="K44" s="16"/>
      <c r="L44" s="36"/>
      <c r="M44" s="30"/>
      <c r="N44" s="17"/>
      <c r="O44" s="37"/>
      <c r="P44" s="577"/>
      <c r="Q44" s="578"/>
      <c r="R44" s="38"/>
      <c r="S44" s="39"/>
      <c r="T44" s="39"/>
      <c r="U44" s="39"/>
      <c r="V44" s="40"/>
      <c r="W44" s="41"/>
      <c r="X44" s="19"/>
      <c r="Y44" s="19"/>
      <c r="Z44" s="42"/>
      <c r="AA44" s="42"/>
      <c r="AB44" s="42"/>
      <c r="AC44" s="17"/>
      <c r="AD44" s="42"/>
      <c r="AE44" s="242"/>
      <c r="AF44" s="179"/>
      <c r="AG44" s="180"/>
      <c r="AH44" s="181"/>
      <c r="AI44" s="179"/>
      <c r="AJ44" s="398"/>
      <c r="AK44" s="530"/>
    </row>
    <row r="45" spans="1:37" s="172" customFormat="1" ht="31" hidden="1" customHeight="1" x14ac:dyDescent="0.25">
      <c r="A45" s="316"/>
      <c r="B45" s="645"/>
      <c r="C45" s="400"/>
      <c r="D45" s="401"/>
      <c r="E45" s="399"/>
      <c r="F45" s="26"/>
      <c r="G45" s="26"/>
      <c r="H45" s="16"/>
      <c r="I45" s="16"/>
      <c r="J45" s="16"/>
      <c r="K45" s="16"/>
      <c r="L45" s="36"/>
      <c r="M45" s="30"/>
      <c r="N45" s="17"/>
      <c r="O45" s="37"/>
      <c r="P45" s="577"/>
      <c r="Q45" s="578"/>
      <c r="R45" s="38"/>
      <c r="S45" s="39"/>
      <c r="T45" s="39"/>
      <c r="U45" s="39"/>
      <c r="V45" s="40"/>
      <c r="W45" s="41"/>
      <c r="X45" s="19"/>
      <c r="Y45" s="19"/>
      <c r="Z45" s="42"/>
      <c r="AA45" s="42"/>
      <c r="AB45" s="42"/>
      <c r="AC45" s="17"/>
      <c r="AD45" s="42"/>
      <c r="AE45" s="242"/>
      <c r="AF45" s="179"/>
      <c r="AG45" s="180"/>
      <c r="AH45" s="181"/>
      <c r="AI45" s="179"/>
      <c r="AJ45" s="398"/>
      <c r="AK45" s="530"/>
    </row>
    <row r="46" spans="1:37" s="172" customFormat="1" ht="31" hidden="1" customHeight="1" x14ac:dyDescent="0.25">
      <c r="A46" s="316"/>
      <c r="B46" s="645"/>
      <c r="C46" s="400"/>
      <c r="D46" s="401"/>
      <c r="E46" s="399"/>
      <c r="F46" s="26"/>
      <c r="G46" s="26"/>
      <c r="H46" s="16"/>
      <c r="I46" s="16"/>
      <c r="J46" s="16"/>
      <c r="K46" s="16"/>
      <c r="L46" s="36"/>
      <c r="M46" s="30"/>
      <c r="N46" s="17"/>
      <c r="O46" s="37"/>
      <c r="P46" s="577"/>
      <c r="Q46" s="578"/>
      <c r="R46" s="38"/>
      <c r="S46" s="39"/>
      <c r="T46" s="39"/>
      <c r="U46" s="39"/>
      <c r="V46" s="40"/>
      <c r="W46" s="41"/>
      <c r="X46" s="19"/>
      <c r="Y46" s="19"/>
      <c r="Z46" s="42"/>
      <c r="AA46" s="42"/>
      <c r="AB46" s="42"/>
      <c r="AC46" s="17"/>
      <c r="AD46" s="42"/>
      <c r="AE46" s="242"/>
      <c r="AF46" s="179"/>
      <c r="AG46" s="180"/>
      <c r="AH46" s="181"/>
      <c r="AI46" s="179"/>
      <c r="AJ46" s="398"/>
      <c r="AK46" s="530"/>
    </row>
    <row r="47" spans="1:37" s="172" customFormat="1" ht="31" hidden="1" customHeight="1" x14ac:dyDescent="0.25">
      <c r="A47" s="316"/>
      <c r="B47" s="645"/>
      <c r="C47" s="400"/>
      <c r="D47" s="401"/>
      <c r="E47" s="399"/>
      <c r="F47" s="26"/>
      <c r="G47" s="26"/>
      <c r="H47" s="16"/>
      <c r="I47" s="16"/>
      <c r="J47" s="16"/>
      <c r="K47" s="16"/>
      <c r="L47" s="36"/>
      <c r="M47" s="30"/>
      <c r="N47" s="17"/>
      <c r="O47" s="37"/>
      <c r="P47" s="577"/>
      <c r="Q47" s="578"/>
      <c r="R47" s="38"/>
      <c r="S47" s="39"/>
      <c r="T47" s="39"/>
      <c r="U47" s="39"/>
      <c r="V47" s="40"/>
      <c r="W47" s="41"/>
      <c r="X47" s="19"/>
      <c r="Y47" s="19"/>
      <c r="Z47" s="42"/>
      <c r="AA47" s="42"/>
      <c r="AB47" s="42"/>
      <c r="AC47" s="17"/>
      <c r="AD47" s="42"/>
      <c r="AE47" s="242"/>
      <c r="AF47" s="179"/>
      <c r="AG47" s="180"/>
      <c r="AH47" s="181"/>
      <c r="AI47" s="179"/>
      <c r="AJ47" s="398"/>
      <c r="AK47" s="530"/>
    </row>
    <row r="48" spans="1:37" s="172" customFormat="1" ht="31" hidden="1" customHeight="1" x14ac:dyDescent="0.25">
      <c r="A48" s="316"/>
      <c r="B48" s="645"/>
      <c r="C48" s="400"/>
      <c r="D48" s="401"/>
      <c r="E48" s="399"/>
      <c r="F48" s="26"/>
      <c r="G48" s="26"/>
      <c r="H48" s="16"/>
      <c r="I48" s="16"/>
      <c r="J48" s="16"/>
      <c r="K48" s="16"/>
      <c r="L48" s="36"/>
      <c r="M48" s="30"/>
      <c r="N48" s="17"/>
      <c r="O48" s="37"/>
      <c r="P48" s="577"/>
      <c r="Q48" s="578"/>
      <c r="R48" s="38"/>
      <c r="S48" s="39"/>
      <c r="T48" s="39"/>
      <c r="U48" s="39"/>
      <c r="V48" s="40"/>
      <c r="W48" s="41"/>
      <c r="X48" s="19"/>
      <c r="Y48" s="19"/>
      <c r="Z48" s="42"/>
      <c r="AA48" s="42"/>
      <c r="AB48" s="42"/>
      <c r="AC48" s="17"/>
      <c r="AD48" s="42"/>
      <c r="AE48" s="242"/>
      <c r="AF48" s="179"/>
      <c r="AG48" s="180"/>
      <c r="AH48" s="181"/>
      <c r="AI48" s="179"/>
      <c r="AJ48" s="398"/>
      <c r="AK48" s="530"/>
    </row>
    <row r="49" spans="1:38" s="172" customFormat="1" ht="31" hidden="1" customHeight="1" x14ac:dyDescent="0.25">
      <c r="A49" s="316" t="s">
        <v>615</v>
      </c>
      <c r="B49" s="645"/>
      <c r="C49" s="400"/>
      <c r="D49" s="401"/>
      <c r="E49" s="399"/>
      <c r="F49" s="26"/>
      <c r="G49" s="26"/>
      <c r="H49" s="16"/>
      <c r="I49" s="16"/>
      <c r="J49" s="16"/>
      <c r="K49" s="16"/>
      <c r="L49" s="36"/>
      <c r="M49" s="30"/>
      <c r="N49" s="17"/>
      <c r="O49" s="37"/>
      <c r="P49" s="577"/>
      <c r="Q49" s="578"/>
      <c r="R49" s="38"/>
      <c r="S49" s="39"/>
      <c r="T49" s="39"/>
      <c r="U49" s="39"/>
      <c r="V49" s="40"/>
      <c r="W49" s="41"/>
      <c r="X49" s="19"/>
      <c r="Y49" s="19"/>
      <c r="Z49" s="42"/>
      <c r="AA49" s="42"/>
      <c r="AB49" s="42"/>
      <c r="AC49" s="17"/>
      <c r="AD49" s="42"/>
      <c r="AE49" s="242"/>
      <c r="AF49" s="179"/>
      <c r="AG49" s="180"/>
      <c r="AH49" s="181"/>
      <c r="AI49" s="179"/>
      <c r="AJ49" s="398"/>
      <c r="AK49" s="530"/>
    </row>
    <row r="50" spans="1:38" s="172" customFormat="1" ht="32" hidden="1" customHeight="1" x14ac:dyDescent="0.25">
      <c r="A50" s="316"/>
      <c r="B50" s="290"/>
      <c r="C50" s="400"/>
      <c r="D50" s="401"/>
      <c r="E50" s="399"/>
      <c r="F50" s="26"/>
      <c r="G50" s="26"/>
      <c r="H50" s="16"/>
      <c r="I50" s="16"/>
      <c r="J50" s="16"/>
      <c r="K50" s="16"/>
      <c r="L50" s="36"/>
      <c r="M50" s="30"/>
      <c r="N50" s="17"/>
      <c r="O50" s="37"/>
      <c r="P50" s="577"/>
      <c r="Q50" s="578"/>
      <c r="R50" s="38"/>
      <c r="S50" s="39"/>
      <c r="T50" s="39"/>
      <c r="U50" s="39"/>
      <c r="V50" s="40"/>
      <c r="W50" s="41"/>
      <c r="X50" s="19"/>
      <c r="Y50" s="19"/>
      <c r="Z50" s="42"/>
      <c r="AA50" s="42"/>
      <c r="AB50" s="42"/>
      <c r="AC50" s="17"/>
      <c r="AD50" s="42"/>
      <c r="AE50" s="242"/>
      <c r="AF50" s="179"/>
      <c r="AG50" s="180"/>
      <c r="AH50" s="181"/>
      <c r="AI50" s="179"/>
      <c r="AJ50" s="398"/>
      <c r="AK50" s="530"/>
    </row>
    <row r="51" spans="1:38" s="172" customFormat="1" ht="32" hidden="1" customHeight="1" x14ac:dyDescent="0.25">
      <c r="A51" s="316"/>
      <c r="B51" s="290"/>
      <c r="C51" s="400"/>
      <c r="D51" s="401"/>
      <c r="E51" s="399"/>
      <c r="F51" s="26"/>
      <c r="G51" s="26"/>
      <c r="H51" s="16"/>
      <c r="I51" s="16"/>
      <c r="J51" s="16"/>
      <c r="K51" s="16"/>
      <c r="L51" s="36"/>
      <c r="M51" s="30"/>
      <c r="N51" s="17"/>
      <c r="O51" s="37"/>
      <c r="P51" s="577"/>
      <c r="Q51" s="578"/>
      <c r="R51" s="38"/>
      <c r="S51" s="39"/>
      <c r="T51" s="39"/>
      <c r="U51" s="39"/>
      <c r="V51" s="40"/>
      <c r="W51" s="41"/>
      <c r="X51" s="19"/>
      <c r="Y51" s="19"/>
      <c r="Z51" s="42"/>
      <c r="AA51" s="42"/>
      <c r="AB51" s="42"/>
      <c r="AC51" s="17"/>
      <c r="AD51" s="42"/>
      <c r="AE51" s="242"/>
      <c r="AF51" s="179"/>
      <c r="AG51" s="180"/>
      <c r="AH51" s="181"/>
      <c r="AI51" s="179"/>
      <c r="AJ51" s="398"/>
      <c r="AK51" s="530"/>
    </row>
    <row r="52" spans="1:38" s="172" customFormat="1" ht="32" hidden="1" customHeight="1" x14ac:dyDescent="0.25">
      <c r="A52" s="316"/>
      <c r="B52" s="290"/>
      <c r="C52" s="400"/>
      <c r="D52" s="401"/>
      <c r="E52" s="399"/>
      <c r="F52" s="26"/>
      <c r="G52" s="26"/>
      <c r="H52" s="16"/>
      <c r="I52" s="16"/>
      <c r="J52" s="16"/>
      <c r="K52" s="16"/>
      <c r="L52" s="36"/>
      <c r="M52" s="30"/>
      <c r="N52" s="17"/>
      <c r="O52" s="37"/>
      <c r="P52" s="577"/>
      <c r="Q52" s="578"/>
      <c r="R52" s="38"/>
      <c r="S52" s="39"/>
      <c r="T52" s="39"/>
      <c r="U52" s="39"/>
      <c r="V52" s="40"/>
      <c r="W52" s="41"/>
      <c r="X52" s="19"/>
      <c r="Y52" s="19"/>
      <c r="Z52" s="42"/>
      <c r="AA52" s="42"/>
      <c r="AB52" s="42"/>
      <c r="AC52" s="17"/>
      <c r="AD52" s="42"/>
      <c r="AE52" s="242"/>
      <c r="AF52" s="179"/>
      <c r="AG52" s="180"/>
      <c r="AH52" s="181"/>
      <c r="AI52" s="179"/>
      <c r="AJ52" s="398"/>
      <c r="AK52" s="530"/>
    </row>
    <row r="53" spans="1:38" s="172" customFormat="1" ht="32" hidden="1" customHeight="1" x14ac:dyDescent="0.25">
      <c r="A53" s="316"/>
      <c r="B53" s="290"/>
      <c r="C53" s="400"/>
      <c r="D53" s="401"/>
      <c r="E53" s="399"/>
      <c r="F53" s="26"/>
      <c r="G53" s="26"/>
      <c r="H53" s="16"/>
      <c r="I53" s="16"/>
      <c r="J53" s="16"/>
      <c r="K53" s="16"/>
      <c r="L53" s="36"/>
      <c r="M53" s="30"/>
      <c r="N53" s="17"/>
      <c r="O53" s="37"/>
      <c r="P53" s="577"/>
      <c r="Q53" s="578"/>
      <c r="R53" s="38"/>
      <c r="S53" s="39"/>
      <c r="T53" s="39"/>
      <c r="U53" s="39"/>
      <c r="V53" s="40"/>
      <c r="W53" s="41"/>
      <c r="X53" s="19"/>
      <c r="Y53" s="19"/>
      <c r="Z53" s="42"/>
      <c r="AA53" s="42"/>
      <c r="AB53" s="42"/>
      <c r="AC53" s="17"/>
      <c r="AD53" s="42"/>
      <c r="AE53" s="242"/>
      <c r="AF53" s="179"/>
      <c r="AG53" s="180"/>
      <c r="AH53" s="181"/>
      <c r="AI53" s="179"/>
      <c r="AJ53" s="398"/>
      <c r="AK53" s="530"/>
    </row>
    <row r="54" spans="1:38" s="172" customFormat="1" ht="38" customHeight="1" x14ac:dyDescent="0.25">
      <c r="B54" s="26"/>
      <c r="C54" s="1017" t="s">
        <v>610</v>
      </c>
      <c r="D54" s="1018"/>
      <c r="E54" s="1018"/>
      <c r="F54" s="1018"/>
      <c r="G54" s="1018"/>
      <c r="H54" s="1018"/>
      <c r="I54" s="1018"/>
      <c r="J54" s="1018"/>
      <c r="K54" s="1018"/>
      <c r="L54" s="1018"/>
      <c r="M54" s="1018"/>
      <c r="N54" s="1018"/>
      <c r="O54" s="1018"/>
      <c r="P54" s="1018"/>
      <c r="Q54" s="1018"/>
      <c r="R54" s="1018"/>
      <c r="S54" s="1018"/>
      <c r="T54" s="1018"/>
      <c r="U54" s="1018"/>
      <c r="V54" s="1018"/>
      <c r="W54" s="1018"/>
      <c r="X54" s="1018"/>
      <c r="Y54" s="1018"/>
      <c r="Z54" s="1018"/>
      <c r="AA54" s="1018"/>
      <c r="AB54" s="1018"/>
      <c r="AC54" s="1019"/>
      <c r="AD54" s="43"/>
      <c r="AE54" s="404">
        <f>SUM(AE33:AE53)</f>
        <v>284.24</v>
      </c>
      <c r="AF54" s="182"/>
      <c r="AG54" s="180"/>
      <c r="AH54" s="181"/>
      <c r="AI54" s="251"/>
      <c r="AJ54" s="537"/>
      <c r="AK54" s="538"/>
    </row>
    <row r="55" spans="1:38" s="172" customFormat="1" ht="38" hidden="1" customHeight="1" x14ac:dyDescent="0.25">
      <c r="B55" s="26"/>
      <c r="C55" s="1017"/>
      <c r="D55" s="1018"/>
      <c r="E55" s="1018"/>
      <c r="F55" s="1018"/>
      <c r="G55" s="1018"/>
      <c r="H55" s="1018"/>
      <c r="I55" s="1018"/>
      <c r="J55" s="1018"/>
      <c r="K55" s="1018"/>
      <c r="L55" s="1018"/>
      <c r="M55" s="1018"/>
      <c r="N55" s="1018"/>
      <c r="O55" s="1018"/>
      <c r="P55" s="1018"/>
      <c r="Q55" s="1018"/>
      <c r="R55" s="1018"/>
      <c r="S55" s="1018"/>
      <c r="T55" s="1018"/>
      <c r="U55" s="1018"/>
      <c r="V55" s="1018"/>
      <c r="W55" s="1018"/>
      <c r="X55" s="1018"/>
      <c r="Y55" s="1018"/>
      <c r="Z55" s="1018"/>
      <c r="AA55" s="1018"/>
      <c r="AB55" s="1018"/>
      <c r="AC55" s="1019"/>
      <c r="AD55" s="43"/>
      <c r="AE55" s="404"/>
      <c r="AF55" s="182"/>
      <c r="AG55" s="180"/>
      <c r="AH55" s="181"/>
      <c r="AI55" s="251"/>
      <c r="AJ55" s="537"/>
      <c r="AK55" s="538"/>
    </row>
    <row r="56" spans="1:38" ht="40" hidden="1" customHeight="1" x14ac:dyDescent="0.2">
      <c r="C56" s="1013" t="s">
        <v>391</v>
      </c>
      <c r="D56" s="1014"/>
      <c r="E56" s="1014"/>
      <c r="F56" s="1014"/>
      <c r="G56" s="1014"/>
      <c r="H56" s="1014"/>
      <c r="I56" s="1014"/>
      <c r="J56" s="1014"/>
      <c r="K56" s="1014"/>
      <c r="L56" s="1014"/>
      <c r="M56" s="1014"/>
      <c r="N56" s="1014"/>
      <c r="O56" s="1014"/>
      <c r="P56" s="1014"/>
      <c r="Q56" s="1014"/>
      <c r="R56" s="1014"/>
      <c r="S56" s="1014"/>
      <c r="T56" s="1014"/>
      <c r="U56" s="1014"/>
      <c r="V56" s="1014"/>
      <c r="W56" s="1014"/>
      <c r="X56" s="1014"/>
      <c r="Y56" s="1014"/>
      <c r="Z56" s="1014"/>
      <c r="AA56" s="1014"/>
      <c r="AB56" s="1014"/>
      <c r="AC56" s="1015"/>
      <c r="AD56" s="87"/>
      <c r="AE56" s="88">
        <f>SUM(AE33:AE53)</f>
        <v>284.24</v>
      </c>
      <c r="AF56" s="33" t="s">
        <v>38</v>
      </c>
      <c r="AJ56" s="539"/>
      <c r="AK56" s="540"/>
      <c r="AL56" s="246"/>
    </row>
    <row r="57" spans="1:38" s="78" customFormat="1" ht="40" hidden="1" customHeight="1" x14ac:dyDescent="0.2">
      <c r="C57" s="249"/>
      <c r="D57" s="378"/>
      <c r="O57" s="392"/>
      <c r="P57" s="393"/>
      <c r="Q57" s="393"/>
      <c r="R57" s="394"/>
      <c r="S57" s="395"/>
      <c r="T57" s="395"/>
      <c r="U57" s="395"/>
      <c r="V57" s="394"/>
      <c r="W57" s="394"/>
      <c r="X57" s="394"/>
      <c r="Y57" s="394"/>
      <c r="Z57" s="394"/>
      <c r="AA57" s="394"/>
      <c r="AB57" s="394"/>
      <c r="AC57" s="394"/>
      <c r="AD57" s="394"/>
      <c r="AE57" s="396"/>
      <c r="AF57" s="248"/>
      <c r="AJ57" s="394"/>
      <c r="AK57" s="397"/>
      <c r="AL57" s="79"/>
    </row>
    <row r="58" spans="1:38" s="78" customFormat="1" ht="40" hidden="1" customHeight="1" x14ac:dyDescent="0.2">
      <c r="C58" s="249"/>
      <c r="D58" s="378"/>
      <c r="O58" s="392"/>
      <c r="P58" s="393"/>
      <c r="Q58" s="393"/>
      <c r="R58" s="394"/>
      <c r="S58" s="395"/>
      <c r="T58" s="395"/>
      <c r="U58" s="395"/>
      <c r="V58" s="394"/>
      <c r="W58" s="394"/>
      <c r="X58" s="394"/>
      <c r="Y58" s="394"/>
      <c r="Z58" s="394"/>
      <c r="AA58" s="394"/>
      <c r="AB58" s="394"/>
      <c r="AC58" s="394"/>
      <c r="AD58" s="394"/>
      <c r="AE58" s="396"/>
      <c r="AF58" s="248"/>
      <c r="AJ58" s="394"/>
      <c r="AK58" s="397"/>
      <c r="AL58" s="79"/>
    </row>
    <row r="59" spans="1:38" ht="40" hidden="1" customHeight="1" x14ac:dyDescent="0.2">
      <c r="C59" s="249"/>
      <c r="D59" s="3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1016" t="s">
        <v>386</v>
      </c>
      <c r="P59" s="1016"/>
      <c r="Q59" s="1016"/>
      <c r="R59" s="1016"/>
      <c r="S59" s="1016"/>
      <c r="T59" s="1016"/>
      <c r="U59" s="389"/>
      <c r="V59" s="388"/>
      <c r="W59" s="388"/>
      <c r="X59" s="388"/>
      <c r="Y59" s="388"/>
      <c r="Z59" s="388"/>
      <c r="AA59" s="388"/>
      <c r="AB59" s="388"/>
      <c r="AC59" s="388"/>
      <c r="AD59" s="388"/>
      <c r="AE59" s="390"/>
      <c r="AF59" s="391"/>
      <c r="AJ59" s="388"/>
      <c r="AK59" s="229"/>
      <c r="AL59" s="246"/>
    </row>
    <row r="60" spans="1:38" ht="40" hidden="1" customHeight="1" x14ac:dyDescent="0.2">
      <c r="C60" s="249"/>
      <c r="D60" s="3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1016" t="s">
        <v>387</v>
      </c>
      <c r="P60" s="1016"/>
      <c r="Q60" s="1016"/>
      <c r="R60" s="1016"/>
      <c r="S60" s="1016"/>
      <c r="T60" s="1016"/>
      <c r="U60" s="389"/>
      <c r="V60" s="388"/>
      <c r="W60" s="388"/>
      <c r="X60" s="388"/>
      <c r="Y60" s="388"/>
      <c r="Z60" s="388"/>
      <c r="AA60" s="388"/>
      <c r="AB60" s="388"/>
      <c r="AC60" s="388"/>
      <c r="AD60" s="388"/>
      <c r="AE60" s="390"/>
      <c r="AF60" s="391"/>
      <c r="AJ60" s="388"/>
      <c r="AK60" s="229"/>
      <c r="AL60" s="246"/>
    </row>
    <row r="61" spans="1:38" s="78" customFormat="1" ht="40" hidden="1" customHeight="1" x14ac:dyDescent="0.2">
      <c r="C61" s="249"/>
      <c r="D61" s="378"/>
      <c r="O61" s="403"/>
      <c r="P61" s="403"/>
      <c r="Q61" s="403"/>
      <c r="R61" s="403"/>
      <c r="S61" s="403"/>
      <c r="T61" s="403"/>
      <c r="U61" s="395"/>
      <c r="V61" s="394"/>
      <c r="W61" s="394"/>
      <c r="X61" s="394"/>
      <c r="Y61" s="394"/>
      <c r="Z61" s="394"/>
      <c r="AA61" s="394"/>
      <c r="AB61" s="394"/>
      <c r="AC61" s="394"/>
      <c r="AD61" s="394"/>
      <c r="AE61" s="396"/>
      <c r="AF61" s="248"/>
      <c r="AJ61" s="394"/>
      <c r="AK61" s="397"/>
      <c r="AL61" s="79"/>
    </row>
    <row r="62" spans="1:38" s="78" customFormat="1" ht="40" customHeight="1" x14ac:dyDescent="0.2">
      <c r="C62" s="249"/>
      <c r="D62" s="378"/>
      <c r="O62" s="392"/>
      <c r="P62" s="393"/>
      <c r="Q62" s="393"/>
      <c r="R62" s="394"/>
      <c r="S62" s="395"/>
      <c r="T62" s="395"/>
      <c r="U62" s="395"/>
      <c r="V62" s="394"/>
      <c r="W62" s="394"/>
      <c r="X62" s="394"/>
      <c r="Y62" s="394"/>
      <c r="Z62" s="394"/>
      <c r="AA62" s="394"/>
      <c r="AB62" s="394"/>
      <c r="AC62" s="394"/>
      <c r="AD62" s="394"/>
      <c r="AE62" s="1006" t="s">
        <v>393</v>
      </c>
      <c r="AF62" s="1006"/>
      <c r="AG62" s="1006"/>
      <c r="AH62" s="1006"/>
      <c r="AI62" s="1006"/>
      <c r="AJ62" s="1006"/>
      <c r="AK62" s="405" t="s">
        <v>392</v>
      </c>
      <c r="AL62" s="79"/>
    </row>
    <row r="63" spans="1:38" ht="40" customHeight="1" x14ac:dyDescent="0.2">
      <c r="O63" s="1007" t="s">
        <v>636</v>
      </c>
      <c r="P63" s="1008"/>
      <c r="Q63" s="1008"/>
      <c r="R63" s="1008"/>
      <c r="S63" s="1009"/>
      <c r="T63" s="402">
        <f>AE54</f>
        <v>284.24</v>
      </c>
      <c r="U63" s="284"/>
      <c r="V63" s="87"/>
      <c r="W63" s="87"/>
      <c r="X63" s="87"/>
      <c r="Y63" s="87"/>
      <c r="Z63" s="87"/>
      <c r="AA63" s="87"/>
      <c r="AB63" s="87"/>
      <c r="AC63" s="87"/>
      <c r="AD63" s="87"/>
      <c r="AE63" s="1010"/>
      <c r="AF63" s="1011"/>
      <c r="AG63" s="1011"/>
      <c r="AH63" s="1011"/>
      <c r="AI63" s="1011"/>
      <c r="AJ63" s="1011"/>
      <c r="AK63" s="531"/>
      <c r="AL63" s="246"/>
    </row>
    <row r="64" spans="1:38" ht="40" hidden="1" customHeight="1" x14ac:dyDescent="0.2">
      <c r="O64" s="1007" t="s">
        <v>430</v>
      </c>
      <c r="P64" s="1008"/>
      <c r="Q64" s="1008"/>
      <c r="R64" s="1008"/>
      <c r="S64" s="1009"/>
      <c r="T64" s="402">
        <f>AE55</f>
        <v>0</v>
      </c>
      <c r="U64" s="284"/>
      <c r="V64" s="87"/>
      <c r="W64" s="87"/>
      <c r="X64" s="87"/>
      <c r="Y64" s="87"/>
      <c r="Z64" s="87"/>
      <c r="AA64" s="87"/>
      <c r="AB64" s="87"/>
      <c r="AC64" s="87"/>
      <c r="AD64" s="87"/>
      <c r="AE64" s="1010"/>
      <c r="AF64" s="1011"/>
      <c r="AG64" s="1011"/>
      <c r="AH64" s="1011"/>
      <c r="AI64" s="1011"/>
      <c r="AJ64" s="1011"/>
      <c r="AK64" s="531"/>
      <c r="AL64" s="246"/>
    </row>
    <row r="65" spans="1:38" ht="40" hidden="1" customHeight="1" x14ac:dyDescent="0.2">
      <c r="O65" s="1007" t="s">
        <v>389</v>
      </c>
      <c r="P65" s="1008"/>
      <c r="Q65" s="1008"/>
      <c r="R65" s="1008"/>
      <c r="S65" s="1009"/>
      <c r="T65" s="402">
        <f>SUM(T63:T64)</f>
        <v>284.24</v>
      </c>
      <c r="U65" s="284"/>
      <c r="V65" s="87"/>
      <c r="W65" s="87"/>
      <c r="X65" s="87"/>
      <c r="Y65" s="87"/>
      <c r="Z65" s="87"/>
      <c r="AA65" s="87"/>
      <c r="AB65" s="87"/>
      <c r="AC65" s="87"/>
      <c r="AD65" s="87"/>
      <c r="AE65" s="1020"/>
      <c r="AF65" s="1020"/>
      <c r="AG65" s="1020"/>
      <c r="AH65" s="1020"/>
      <c r="AI65" s="1020"/>
      <c r="AJ65" s="1020"/>
      <c r="AK65" s="1020"/>
      <c r="AL65" s="246"/>
    </row>
    <row r="66" spans="1:38" s="78" customFormat="1" ht="40" customHeight="1" x14ac:dyDescent="0.2">
      <c r="C66" s="249"/>
      <c r="D66" s="378"/>
      <c r="O66" s="392"/>
      <c r="P66" s="393"/>
      <c r="Q66" s="393"/>
      <c r="R66" s="394"/>
      <c r="S66" s="395"/>
      <c r="T66" s="395"/>
      <c r="U66" s="395"/>
      <c r="V66" s="394"/>
      <c r="W66" s="394"/>
      <c r="X66" s="394"/>
      <c r="Y66" s="394"/>
      <c r="Z66" s="394"/>
      <c r="AA66" s="394"/>
      <c r="AB66" s="394"/>
      <c r="AC66" s="394"/>
      <c r="AD66" s="394"/>
      <c r="AE66" s="396"/>
      <c r="AF66" s="248"/>
      <c r="AJ66" s="394"/>
      <c r="AK66" s="397"/>
      <c r="AL66" s="79"/>
    </row>
    <row r="67" spans="1:38" s="78" customFormat="1" ht="40" customHeight="1" x14ac:dyDescent="0.2">
      <c r="C67" s="249"/>
      <c r="D67" s="378"/>
      <c r="O67" s="392"/>
      <c r="P67" s="393"/>
      <c r="Q67" s="393"/>
      <c r="R67" s="394"/>
      <c r="S67" s="395"/>
      <c r="T67" s="395"/>
      <c r="U67" s="395"/>
      <c r="V67" s="394"/>
      <c r="W67" s="394"/>
      <c r="X67" s="394"/>
      <c r="Y67" s="394"/>
      <c r="Z67" s="394"/>
      <c r="AA67" s="394"/>
      <c r="AB67" s="394"/>
      <c r="AC67" s="394"/>
      <c r="AD67" s="394"/>
      <c r="AE67" s="396"/>
      <c r="AF67" s="248"/>
      <c r="AJ67" s="394"/>
      <c r="AK67" s="397"/>
      <c r="AL67" s="79"/>
    </row>
    <row r="68" spans="1:38" s="78" customFormat="1" ht="40" customHeight="1" x14ac:dyDescent="0.2">
      <c r="C68" s="249"/>
      <c r="D68" s="378"/>
      <c r="O68" s="392"/>
      <c r="P68" s="393"/>
      <c r="Q68" s="393"/>
      <c r="R68" s="394"/>
      <c r="S68" s="395"/>
      <c r="T68" s="395"/>
      <c r="U68" s="395"/>
      <c r="V68" s="394"/>
      <c r="W68" s="394"/>
      <c r="X68" s="394"/>
      <c r="Y68" s="394"/>
      <c r="Z68" s="394"/>
      <c r="AA68" s="394"/>
      <c r="AB68" s="394"/>
      <c r="AC68" s="394"/>
      <c r="AD68" s="394"/>
      <c r="AE68" s="396"/>
      <c r="AF68" s="248"/>
      <c r="AJ68" s="394"/>
      <c r="AK68" s="397"/>
      <c r="AL68" s="79"/>
    </row>
    <row r="69" spans="1:38" ht="24" customHeight="1" x14ac:dyDescent="0.2"/>
    <row r="70" spans="1:38" ht="207" customHeight="1" x14ac:dyDescent="0.2">
      <c r="B70" s="78"/>
      <c r="C70" s="249"/>
      <c r="D70" s="378"/>
      <c r="E70" s="78"/>
      <c r="F70" s="78"/>
      <c r="G70" s="78"/>
      <c r="H70" s="78"/>
      <c r="I70" s="78"/>
      <c r="J70" s="78"/>
      <c r="K70" s="78"/>
      <c r="L70" s="78"/>
      <c r="M70" s="78"/>
      <c r="N70" s="247" t="s">
        <v>661</v>
      </c>
      <c r="O70" s="383" t="s">
        <v>662</v>
      </c>
      <c r="P70" s="383"/>
      <c r="Q70" s="383"/>
      <c r="R70" s="78"/>
      <c r="S70" s="249"/>
      <c r="T70" s="249"/>
      <c r="U70" s="249"/>
      <c r="V70" s="78"/>
      <c r="W70" s="78"/>
      <c r="X70" s="78"/>
      <c r="Y70" s="78"/>
      <c r="Z70" s="78"/>
      <c r="AA70" s="78"/>
      <c r="AB70" s="78"/>
      <c r="AC70" s="78"/>
      <c r="AD70" s="78"/>
      <c r="AE70" s="250"/>
      <c r="AJ70" s="78"/>
    </row>
    <row r="72" spans="1:38" ht="57" x14ac:dyDescent="0.2">
      <c r="B72" s="62" t="s">
        <v>0</v>
      </c>
      <c r="C72" s="1012" t="s">
        <v>383</v>
      </c>
      <c r="D72" s="1012"/>
      <c r="E72" s="518" t="s">
        <v>154</v>
      </c>
      <c r="F72" s="518" t="s">
        <v>142</v>
      </c>
      <c r="G72" s="518" t="s">
        <v>146</v>
      </c>
      <c r="H72" s="519" t="s">
        <v>26</v>
      </c>
      <c r="I72" s="519" t="s">
        <v>27</v>
      </c>
      <c r="J72" s="519" t="s">
        <v>33</v>
      </c>
      <c r="K72" s="519"/>
      <c r="L72" s="517" t="s">
        <v>1</v>
      </c>
      <c r="M72" s="520"/>
      <c r="N72" s="521" t="s">
        <v>3</v>
      </c>
      <c r="O72" s="522" t="s">
        <v>4</v>
      </c>
      <c r="P72" s="522"/>
      <c r="Q72" s="522" t="s">
        <v>5</v>
      </c>
      <c r="R72" s="523" t="s">
        <v>409</v>
      </c>
      <c r="S72" s="524" t="s">
        <v>384</v>
      </c>
      <c r="T72" s="524" t="s">
        <v>157</v>
      </c>
      <c r="U72" s="525" t="s">
        <v>158</v>
      </c>
      <c r="V72" s="526" t="s">
        <v>102</v>
      </c>
      <c r="W72" s="527" t="s">
        <v>156</v>
      </c>
      <c r="X72" s="528" t="s">
        <v>9</v>
      </c>
      <c r="Y72" s="528" t="s">
        <v>10</v>
      </c>
      <c r="Z72" s="519" t="s">
        <v>11</v>
      </c>
      <c r="AA72" s="519" t="s">
        <v>15</v>
      </c>
      <c r="AB72" s="519"/>
      <c r="AC72" s="519" t="s">
        <v>17</v>
      </c>
      <c r="AD72" s="519" t="s">
        <v>19</v>
      </c>
      <c r="AE72" s="524" t="s">
        <v>385</v>
      </c>
      <c r="AF72" s="529" t="s">
        <v>20</v>
      </c>
      <c r="AG72" s="529" t="s">
        <v>16</v>
      </c>
      <c r="AH72" s="529"/>
      <c r="AI72" s="582" t="s">
        <v>22</v>
      </c>
      <c r="AJ72" s="519" t="s">
        <v>17</v>
      </c>
      <c r="AK72" s="524" t="s">
        <v>390</v>
      </c>
    </row>
    <row r="73" spans="1:38" s="172" customFormat="1" ht="39" customHeight="1" x14ac:dyDescent="0.25">
      <c r="A73" s="316"/>
      <c r="B73" s="290"/>
      <c r="C73" s="400" t="s">
        <v>637</v>
      </c>
      <c r="D73" s="401" t="s">
        <v>247</v>
      </c>
      <c r="E73" s="399" t="s">
        <v>446</v>
      </c>
      <c r="F73" s="26" t="s">
        <v>144</v>
      </c>
      <c r="G73" s="26" t="s">
        <v>18</v>
      </c>
      <c r="H73" s="16" t="s">
        <v>639</v>
      </c>
      <c r="I73" s="16" t="s">
        <v>640</v>
      </c>
      <c r="J73" s="16"/>
      <c r="K73" s="16"/>
      <c r="L73" s="36">
        <v>46043</v>
      </c>
      <c r="M73" s="30">
        <v>46043</v>
      </c>
      <c r="N73" s="17" t="s">
        <v>649</v>
      </c>
      <c r="O73" s="37" t="s">
        <v>644</v>
      </c>
      <c r="P73" s="577" t="s">
        <v>60</v>
      </c>
      <c r="Q73" s="578" t="s">
        <v>115</v>
      </c>
      <c r="R73" s="38"/>
      <c r="S73" s="39">
        <v>114.1</v>
      </c>
      <c r="T73" s="39">
        <v>114.1</v>
      </c>
      <c r="U73" s="39">
        <v>0</v>
      </c>
      <c r="V73" s="40">
        <v>46043</v>
      </c>
      <c r="W73" s="41">
        <v>46043</v>
      </c>
      <c r="X73" s="19">
        <v>114.1</v>
      </c>
      <c r="Y73" s="19">
        <v>0</v>
      </c>
      <c r="Z73" s="42" t="s">
        <v>447</v>
      </c>
      <c r="AA73" s="42" t="s">
        <v>18</v>
      </c>
      <c r="AB73" s="42" t="s">
        <v>382</v>
      </c>
      <c r="AC73" s="17"/>
      <c r="AD73" s="42" t="s">
        <v>647</v>
      </c>
      <c r="AE73" s="242">
        <v>114.1</v>
      </c>
      <c r="AF73" s="179"/>
      <c r="AG73" s="180">
        <v>0</v>
      </c>
      <c r="AH73" s="181">
        <v>0</v>
      </c>
      <c r="AI73" s="179"/>
      <c r="AJ73" s="398"/>
      <c r="AK73" s="530"/>
    </row>
    <row r="74" spans="1:38" s="172" customFormat="1" ht="39" customHeight="1" x14ac:dyDescent="0.25">
      <c r="A74" s="316"/>
      <c r="B74" s="645"/>
      <c r="C74" s="400" t="s">
        <v>637</v>
      </c>
      <c r="D74" s="401" t="s">
        <v>248</v>
      </c>
      <c r="E74" s="399" t="s">
        <v>542</v>
      </c>
      <c r="F74" s="26" t="s">
        <v>144</v>
      </c>
      <c r="G74" s="26" t="s">
        <v>18</v>
      </c>
      <c r="H74" s="16" t="s">
        <v>641</v>
      </c>
      <c r="I74" s="16" t="s">
        <v>642</v>
      </c>
      <c r="J74" s="16"/>
      <c r="K74" s="16"/>
      <c r="L74" s="36">
        <v>46040</v>
      </c>
      <c r="M74" s="30">
        <v>46040</v>
      </c>
      <c r="N74" s="17" t="s">
        <v>645</v>
      </c>
      <c r="O74" s="37" t="s">
        <v>646</v>
      </c>
      <c r="P74" s="577" t="s">
        <v>515</v>
      </c>
      <c r="Q74" s="578" t="s">
        <v>115</v>
      </c>
      <c r="R74" s="38"/>
      <c r="S74" s="39">
        <v>237</v>
      </c>
      <c r="T74" s="39">
        <v>237</v>
      </c>
      <c r="U74" s="39">
        <v>0</v>
      </c>
      <c r="V74" s="40">
        <v>46040</v>
      </c>
      <c r="W74" s="41">
        <v>46040</v>
      </c>
      <c r="X74" s="19">
        <v>237</v>
      </c>
      <c r="Y74" s="19">
        <v>0</v>
      </c>
      <c r="Z74" s="42" t="s">
        <v>14</v>
      </c>
      <c r="AA74" s="42" t="s">
        <v>18</v>
      </c>
      <c r="AB74" s="42" t="s">
        <v>382</v>
      </c>
      <c r="AC74" s="17"/>
      <c r="AD74" s="42" t="s">
        <v>647</v>
      </c>
      <c r="AE74" s="242">
        <v>237</v>
      </c>
      <c r="AF74" s="179"/>
      <c r="AG74" s="180">
        <v>237</v>
      </c>
      <c r="AH74" s="181">
        <v>0</v>
      </c>
      <c r="AI74" s="179" t="s">
        <v>104</v>
      </c>
      <c r="AJ74" s="398"/>
      <c r="AK74" s="530"/>
    </row>
    <row r="75" spans="1:38" s="172" customFormat="1" ht="30" hidden="1" customHeight="1" x14ac:dyDescent="0.25">
      <c r="B75" s="26"/>
      <c r="C75" s="375"/>
      <c r="D75" s="380"/>
      <c r="E75" s="26"/>
      <c r="F75" s="26"/>
      <c r="G75" s="26"/>
      <c r="H75" s="16"/>
      <c r="I75" s="16"/>
      <c r="J75" s="16"/>
      <c r="K75" s="16"/>
      <c r="L75" s="36"/>
      <c r="M75" s="30"/>
      <c r="N75" s="17"/>
      <c r="O75" s="37"/>
      <c r="P75" s="384"/>
      <c r="Q75" s="385"/>
      <c r="R75" s="38"/>
      <c r="S75" s="39"/>
      <c r="T75" s="39"/>
      <c r="U75" s="39"/>
      <c r="V75" s="40"/>
      <c r="W75" s="41"/>
      <c r="X75" s="19"/>
      <c r="Y75" s="19"/>
      <c r="Z75" s="42"/>
      <c r="AA75" s="42"/>
      <c r="AB75" s="42"/>
      <c r="AC75" s="17"/>
      <c r="AD75" s="42"/>
      <c r="AE75" s="86"/>
      <c r="AF75" s="179"/>
      <c r="AG75" s="180"/>
      <c r="AH75" s="181"/>
      <c r="AI75" s="251"/>
      <c r="AJ75" s="586"/>
      <c r="AK75" s="575"/>
    </row>
    <row r="76" spans="1:38" s="172" customFormat="1" ht="30" hidden="1" customHeight="1" x14ac:dyDescent="0.25">
      <c r="B76" s="26"/>
      <c r="C76" s="375"/>
      <c r="D76" s="380"/>
      <c r="E76" s="26"/>
      <c r="F76" s="26"/>
      <c r="G76" s="26"/>
      <c r="H76" s="16"/>
      <c r="I76" s="16"/>
      <c r="J76" s="16"/>
      <c r="K76" s="16"/>
      <c r="L76" s="36"/>
      <c r="M76" s="30"/>
      <c r="N76" s="17"/>
      <c r="O76" s="37"/>
      <c r="P76" s="384"/>
      <c r="Q76" s="385"/>
      <c r="R76" s="38"/>
      <c r="S76" s="39"/>
      <c r="T76" s="39"/>
      <c r="U76" s="39"/>
      <c r="V76" s="40"/>
      <c r="W76" s="41"/>
      <c r="X76" s="19"/>
      <c r="Y76" s="19"/>
      <c r="Z76" s="42"/>
      <c r="AA76" s="42"/>
      <c r="AB76" s="42"/>
      <c r="AC76" s="17"/>
      <c r="AD76" s="42"/>
      <c r="AE76" s="86"/>
      <c r="AF76" s="179"/>
      <c r="AG76" s="180"/>
      <c r="AH76" s="181"/>
      <c r="AI76" s="251"/>
      <c r="AJ76" s="586"/>
      <c r="AK76" s="575"/>
    </row>
    <row r="77" spans="1:38" s="172" customFormat="1" ht="30" hidden="1" customHeight="1" x14ac:dyDescent="0.25">
      <c r="B77" s="26"/>
      <c r="C77" s="375"/>
      <c r="D77" s="380"/>
      <c r="E77" s="26"/>
      <c r="F77" s="26"/>
      <c r="G77" s="26"/>
      <c r="H77" s="16"/>
      <c r="I77" s="16"/>
      <c r="J77" s="16"/>
      <c r="K77" s="16"/>
      <c r="L77" s="36"/>
      <c r="M77" s="30"/>
      <c r="N77" s="17"/>
      <c r="O77" s="37"/>
      <c r="P77" s="384"/>
      <c r="Q77" s="385"/>
      <c r="R77" s="38"/>
      <c r="S77" s="39"/>
      <c r="T77" s="39"/>
      <c r="U77" s="39"/>
      <c r="V77" s="40"/>
      <c r="W77" s="41"/>
      <c r="X77" s="19"/>
      <c r="Y77" s="19"/>
      <c r="Z77" s="42"/>
      <c r="AA77" s="42"/>
      <c r="AB77" s="42"/>
      <c r="AC77" s="17"/>
      <c r="AD77" s="42"/>
      <c r="AE77" s="86"/>
      <c r="AF77" s="182"/>
      <c r="AG77" s="180"/>
      <c r="AH77" s="181"/>
      <c r="AI77" s="251"/>
      <c r="AJ77" s="586"/>
      <c r="AK77" s="575"/>
    </row>
    <row r="78" spans="1:38" s="172" customFormat="1" ht="30" hidden="1" customHeight="1" x14ac:dyDescent="0.25">
      <c r="B78" s="26"/>
      <c r="C78" s="375"/>
      <c r="D78" s="380"/>
      <c r="E78" s="26"/>
      <c r="F78" s="26"/>
      <c r="G78" s="26"/>
      <c r="H78" s="16"/>
      <c r="I78" s="16"/>
      <c r="J78" s="16"/>
      <c r="K78" s="16"/>
      <c r="L78" s="36"/>
      <c r="M78" s="30"/>
      <c r="N78" s="17"/>
      <c r="O78" s="37"/>
      <c r="P78" s="384"/>
      <c r="Q78" s="385"/>
      <c r="R78" s="38"/>
      <c r="S78" s="39"/>
      <c r="T78" s="39"/>
      <c r="U78" s="39"/>
      <c r="V78" s="40"/>
      <c r="W78" s="41"/>
      <c r="X78" s="19"/>
      <c r="Y78" s="19"/>
      <c r="Z78" s="42"/>
      <c r="AA78" s="42"/>
      <c r="AB78" s="42"/>
      <c r="AC78" s="17"/>
      <c r="AD78" s="42"/>
      <c r="AE78" s="86"/>
      <c r="AF78" s="179"/>
      <c r="AG78" s="180"/>
      <c r="AH78" s="181"/>
      <c r="AI78" s="251"/>
      <c r="AJ78" s="586"/>
      <c r="AK78" s="575"/>
    </row>
    <row r="79" spans="1:38" customFormat="1" ht="27" hidden="1" customHeight="1" x14ac:dyDescent="0.2">
      <c r="B79" s="26"/>
      <c r="C79" s="375"/>
      <c r="D79" s="380"/>
      <c r="E79" s="26"/>
      <c r="F79" s="26"/>
      <c r="G79" s="26"/>
      <c r="H79" s="16"/>
      <c r="I79" s="16"/>
      <c r="J79" s="16"/>
      <c r="K79" s="16"/>
      <c r="L79" s="36"/>
      <c r="M79" s="30"/>
      <c r="N79" s="17"/>
      <c r="O79" s="37"/>
      <c r="P79" s="384"/>
      <c r="Q79" s="385"/>
      <c r="R79" s="38"/>
      <c r="S79" s="39"/>
      <c r="T79" s="39"/>
      <c r="U79" s="39"/>
      <c r="V79" s="40"/>
      <c r="W79" s="41"/>
      <c r="X79" s="19"/>
      <c r="Y79" s="19"/>
      <c r="Z79" s="42"/>
      <c r="AA79" s="42"/>
      <c r="AB79" s="42"/>
      <c r="AC79" s="17"/>
      <c r="AD79" s="42"/>
      <c r="AE79" s="86"/>
      <c r="AF79" s="2"/>
      <c r="AG79" s="1"/>
      <c r="AH79" s="1"/>
      <c r="AI79" s="583"/>
      <c r="AJ79" s="586"/>
      <c r="AK79" s="587"/>
    </row>
    <row r="80" spans="1:38" customFormat="1" ht="27" hidden="1" customHeight="1" x14ac:dyDescent="0.2">
      <c r="B80" s="26"/>
      <c r="C80" s="375"/>
      <c r="D80" s="380"/>
      <c r="E80" s="26"/>
      <c r="F80" s="26"/>
      <c r="G80" s="26"/>
      <c r="H80" s="16"/>
      <c r="I80" s="16"/>
      <c r="J80" s="16"/>
      <c r="K80" s="16"/>
      <c r="L80" s="36"/>
      <c r="M80" s="30"/>
      <c r="N80" s="17"/>
      <c r="O80" s="37"/>
      <c r="P80" s="384"/>
      <c r="Q80" s="385"/>
      <c r="R80" s="38"/>
      <c r="S80" s="39"/>
      <c r="T80" s="39"/>
      <c r="U80" s="39"/>
      <c r="V80" s="40"/>
      <c r="W80" s="41"/>
      <c r="X80" s="19"/>
      <c r="Y80" s="19"/>
      <c r="Z80" s="42"/>
      <c r="AA80" s="42"/>
      <c r="AB80" s="42"/>
      <c r="AC80" s="17"/>
      <c r="AD80" s="42"/>
      <c r="AE80" s="86"/>
      <c r="AF80" s="2"/>
      <c r="AG80" s="1"/>
      <c r="AH80" s="1"/>
      <c r="AI80" s="583"/>
      <c r="AJ80" s="586"/>
      <c r="AK80" s="587"/>
    </row>
    <row r="81" spans="2:37" customFormat="1" ht="27" hidden="1" customHeight="1" x14ac:dyDescent="0.2">
      <c r="B81" s="26"/>
      <c r="C81" s="375"/>
      <c r="D81" s="380"/>
      <c r="E81" s="26"/>
      <c r="F81" s="26"/>
      <c r="G81" s="26"/>
      <c r="H81" s="16"/>
      <c r="I81" s="16"/>
      <c r="J81" s="16"/>
      <c r="K81" s="16"/>
      <c r="L81" s="36"/>
      <c r="M81" s="30"/>
      <c r="N81" s="17"/>
      <c r="O81" s="37"/>
      <c r="P81" s="384"/>
      <c r="Q81" s="385"/>
      <c r="R81" s="38"/>
      <c r="S81" s="39"/>
      <c r="T81" s="39"/>
      <c r="U81" s="39"/>
      <c r="V81" s="40"/>
      <c r="W81" s="41"/>
      <c r="X81" s="19"/>
      <c r="Y81" s="19"/>
      <c r="Z81" s="42"/>
      <c r="AA81" s="42"/>
      <c r="AB81" s="42"/>
      <c r="AC81" s="17"/>
      <c r="AD81" s="42"/>
      <c r="AE81" s="86"/>
      <c r="AF81" s="2"/>
      <c r="AG81" s="1"/>
      <c r="AH81" s="1"/>
      <c r="AI81" s="583"/>
      <c r="AJ81" s="586"/>
      <c r="AK81" s="587"/>
    </row>
    <row r="82" spans="2:37" customFormat="1" ht="27" hidden="1" customHeight="1" x14ac:dyDescent="0.2">
      <c r="B82" s="26"/>
      <c r="C82" s="375"/>
      <c r="D82" s="380"/>
      <c r="E82" s="26"/>
      <c r="F82" s="26"/>
      <c r="G82" s="26"/>
      <c r="H82" s="16"/>
      <c r="I82" s="16"/>
      <c r="J82" s="16"/>
      <c r="K82" s="16"/>
      <c r="L82" s="36"/>
      <c r="M82" s="30"/>
      <c r="N82" s="17"/>
      <c r="O82" s="37"/>
      <c r="P82" s="384"/>
      <c r="Q82" s="385"/>
      <c r="R82" s="38"/>
      <c r="S82" s="39"/>
      <c r="T82" s="39"/>
      <c r="U82" s="39"/>
      <c r="V82" s="40"/>
      <c r="W82" s="41"/>
      <c r="X82" s="19"/>
      <c r="Y82" s="19"/>
      <c r="Z82" s="42"/>
      <c r="AA82" s="42"/>
      <c r="AB82" s="42"/>
      <c r="AC82" s="17"/>
      <c r="AD82" s="42"/>
      <c r="AE82" s="86"/>
      <c r="AF82" s="2"/>
      <c r="AG82" s="76"/>
      <c r="AH82" s="76"/>
      <c r="AI82" s="584"/>
      <c r="AJ82" s="586"/>
      <c r="AK82" s="587"/>
    </row>
    <row r="83" spans="2:37" customFormat="1" ht="27" hidden="1" customHeight="1" x14ac:dyDescent="0.2">
      <c r="B83" s="26"/>
      <c r="C83" s="375"/>
      <c r="D83" s="380"/>
      <c r="E83" s="26"/>
      <c r="F83" s="26"/>
      <c r="G83" s="26"/>
      <c r="H83" s="16"/>
      <c r="I83" s="16"/>
      <c r="J83" s="16"/>
      <c r="K83" s="16"/>
      <c r="L83" s="36"/>
      <c r="M83" s="30"/>
      <c r="N83" s="17"/>
      <c r="O83" s="37"/>
      <c r="P83" s="384"/>
      <c r="Q83" s="385"/>
      <c r="R83" s="38"/>
      <c r="S83" s="39"/>
      <c r="T83" s="39"/>
      <c r="U83" s="39"/>
      <c r="V83" s="40"/>
      <c r="W83" s="41"/>
      <c r="X83" s="19"/>
      <c r="Y83" s="19"/>
      <c r="Z83" s="42"/>
      <c r="AA83" s="42"/>
      <c r="AB83" s="42"/>
      <c r="AC83" s="17"/>
      <c r="AD83" s="42"/>
      <c r="AE83" s="86"/>
      <c r="AF83" s="2"/>
      <c r="AG83" s="76"/>
      <c r="AH83" s="76"/>
      <c r="AI83" s="584"/>
      <c r="AJ83" s="586"/>
      <c r="AK83" s="587"/>
    </row>
    <row r="84" spans="2:37" customFormat="1" ht="27" hidden="1" customHeight="1" x14ac:dyDescent="0.2">
      <c r="B84" s="26"/>
      <c r="C84" s="375"/>
      <c r="D84" s="380"/>
      <c r="E84" s="26"/>
      <c r="F84" s="26"/>
      <c r="G84" s="26"/>
      <c r="H84" s="16"/>
      <c r="I84" s="16"/>
      <c r="J84" s="16"/>
      <c r="K84" s="16"/>
      <c r="L84" s="36"/>
      <c r="M84" s="30"/>
      <c r="N84" s="17"/>
      <c r="O84" s="37"/>
      <c r="P84" s="384"/>
      <c r="Q84" s="385"/>
      <c r="R84" s="38"/>
      <c r="S84" s="39"/>
      <c r="T84" s="39"/>
      <c r="U84" s="39"/>
      <c r="V84" s="40"/>
      <c r="W84" s="41"/>
      <c r="X84" s="19"/>
      <c r="Y84" s="19"/>
      <c r="Z84" s="42"/>
      <c r="AA84" s="42"/>
      <c r="AB84" s="42"/>
      <c r="AC84" s="17"/>
      <c r="AD84" s="42"/>
      <c r="AE84" s="86"/>
      <c r="AF84" s="2"/>
      <c r="AG84" s="76"/>
      <c r="AH84" s="76"/>
      <c r="AI84" s="584"/>
      <c r="AJ84" s="586"/>
      <c r="AK84" s="587"/>
    </row>
    <row r="85" spans="2:37" customFormat="1" ht="27" hidden="1" customHeight="1" x14ac:dyDescent="0.2">
      <c r="B85" s="26"/>
      <c r="C85" s="375"/>
      <c r="D85" s="380"/>
      <c r="E85" s="26"/>
      <c r="F85" s="26"/>
      <c r="G85" s="26"/>
      <c r="H85" s="16"/>
      <c r="I85" s="16"/>
      <c r="J85" s="16"/>
      <c r="K85" s="16"/>
      <c r="L85" s="36"/>
      <c r="M85" s="30"/>
      <c r="N85" s="17"/>
      <c r="O85" s="37"/>
      <c r="P85" s="384"/>
      <c r="Q85" s="385"/>
      <c r="R85" s="38"/>
      <c r="S85" s="39"/>
      <c r="T85" s="39"/>
      <c r="U85" s="39"/>
      <c r="V85" s="40"/>
      <c r="W85" s="41"/>
      <c r="X85" s="19"/>
      <c r="Y85" s="19"/>
      <c r="Z85" s="42"/>
      <c r="AA85" s="42"/>
      <c r="AB85" s="42"/>
      <c r="AC85" s="17"/>
      <c r="AD85" s="42"/>
      <c r="AE85" s="86"/>
      <c r="AF85" s="2"/>
      <c r="AG85" s="76"/>
      <c r="AH85" s="76"/>
      <c r="AI85" s="584"/>
      <c r="AJ85" s="586"/>
      <c r="AK85" s="587"/>
    </row>
    <row r="86" spans="2:37" customFormat="1" ht="27" hidden="1" customHeight="1" x14ac:dyDescent="0.2">
      <c r="B86" s="26"/>
      <c r="C86" s="375"/>
      <c r="D86" s="380"/>
      <c r="E86" s="26"/>
      <c r="F86" s="26"/>
      <c r="G86" s="26"/>
      <c r="H86" s="16"/>
      <c r="I86" s="16"/>
      <c r="J86" s="16"/>
      <c r="K86" s="16"/>
      <c r="L86" s="36"/>
      <c r="M86" s="30"/>
      <c r="N86" s="17"/>
      <c r="O86" s="37"/>
      <c r="P86" s="384"/>
      <c r="Q86" s="385"/>
      <c r="R86" s="38"/>
      <c r="S86" s="39"/>
      <c r="T86" s="39"/>
      <c r="U86" s="39"/>
      <c r="V86" s="40"/>
      <c r="W86" s="41"/>
      <c r="X86" s="19"/>
      <c r="Y86" s="19"/>
      <c r="Z86" s="42"/>
      <c r="AA86" s="42"/>
      <c r="AB86" s="42"/>
      <c r="AC86" s="17"/>
      <c r="AD86" s="42"/>
      <c r="AE86" s="86"/>
      <c r="AF86" s="2"/>
      <c r="AG86" s="76"/>
      <c r="AH86" s="76"/>
      <c r="AI86" s="584"/>
      <c r="AJ86" s="586"/>
      <c r="AK86" s="587"/>
    </row>
    <row r="87" spans="2:37" customFormat="1" ht="27" hidden="1" customHeight="1" x14ac:dyDescent="0.2">
      <c r="B87" s="26"/>
      <c r="C87" s="375"/>
      <c r="D87" s="380"/>
      <c r="E87" s="26"/>
      <c r="F87" s="26"/>
      <c r="G87" s="26"/>
      <c r="H87" s="16"/>
      <c r="I87" s="16"/>
      <c r="J87" s="16"/>
      <c r="K87" s="16"/>
      <c r="L87" s="36"/>
      <c r="M87" s="30"/>
      <c r="N87" s="17"/>
      <c r="O87" s="37"/>
      <c r="P87" s="384"/>
      <c r="Q87" s="385"/>
      <c r="R87" s="38"/>
      <c r="S87" s="39"/>
      <c r="T87" s="39"/>
      <c r="U87" s="39"/>
      <c r="V87" s="40"/>
      <c r="W87" s="41"/>
      <c r="X87" s="19"/>
      <c r="Y87" s="19"/>
      <c r="Z87" s="42"/>
      <c r="AA87" s="42"/>
      <c r="AB87" s="42"/>
      <c r="AC87" s="17"/>
      <c r="AD87" s="42"/>
      <c r="AE87" s="86"/>
      <c r="AF87" s="2"/>
      <c r="AG87" s="76"/>
      <c r="AH87" s="76"/>
      <c r="AI87" s="584"/>
      <c r="AJ87" s="586"/>
      <c r="AK87" s="587"/>
    </row>
    <row r="88" spans="2:37" customFormat="1" ht="27" hidden="1" customHeight="1" x14ac:dyDescent="0.2">
      <c r="B88" s="26"/>
      <c r="C88" s="375"/>
      <c r="D88" s="380"/>
      <c r="E88" s="26"/>
      <c r="F88" s="26"/>
      <c r="G88" s="26"/>
      <c r="H88" s="16"/>
      <c r="I88" s="16"/>
      <c r="J88" s="16"/>
      <c r="K88" s="16"/>
      <c r="L88" s="36"/>
      <c r="M88" s="30"/>
      <c r="N88" s="17"/>
      <c r="O88" s="37"/>
      <c r="P88" s="384"/>
      <c r="Q88" s="385"/>
      <c r="R88" s="38"/>
      <c r="S88" s="39"/>
      <c r="T88" s="39"/>
      <c r="U88" s="39"/>
      <c r="V88" s="40"/>
      <c r="W88" s="41"/>
      <c r="X88" s="19"/>
      <c r="Y88" s="19"/>
      <c r="Z88" s="42"/>
      <c r="AA88" s="42"/>
      <c r="AB88" s="42"/>
      <c r="AC88" s="17"/>
      <c r="AD88" s="42"/>
      <c r="AE88" s="86"/>
      <c r="AF88" s="2"/>
      <c r="AG88" s="76"/>
      <c r="AH88" s="76"/>
      <c r="AI88" s="584"/>
      <c r="AJ88" s="586"/>
      <c r="AK88" s="587"/>
    </row>
    <row r="89" spans="2:37" customFormat="1" ht="27" hidden="1" customHeight="1" x14ac:dyDescent="0.2">
      <c r="B89" s="26"/>
      <c r="C89" s="375"/>
      <c r="D89" s="380"/>
      <c r="E89" s="26"/>
      <c r="F89" s="26"/>
      <c r="G89" s="26"/>
      <c r="H89" s="16"/>
      <c r="I89" s="16"/>
      <c r="J89" s="16"/>
      <c r="K89" s="16"/>
      <c r="L89" s="36"/>
      <c r="M89" s="30"/>
      <c r="N89" s="17"/>
      <c r="O89" s="37"/>
      <c r="P89" s="384"/>
      <c r="Q89" s="385"/>
      <c r="R89" s="38"/>
      <c r="S89" s="39"/>
      <c r="T89" s="39"/>
      <c r="U89" s="39"/>
      <c r="V89" s="40"/>
      <c r="W89" s="41"/>
      <c r="X89" s="19"/>
      <c r="Y89" s="19"/>
      <c r="Z89" s="42"/>
      <c r="AA89" s="42"/>
      <c r="AB89" s="42"/>
      <c r="AC89" s="17"/>
      <c r="AD89" s="42"/>
      <c r="AE89" s="86"/>
      <c r="AF89" s="2"/>
      <c r="AG89" s="76"/>
      <c r="AH89" s="76"/>
      <c r="AI89" s="584"/>
      <c r="AJ89" s="586"/>
      <c r="AK89" s="587"/>
    </row>
    <row r="90" spans="2:37" customFormat="1" ht="27" hidden="1" customHeight="1" x14ac:dyDescent="0.2">
      <c r="B90" s="26"/>
      <c r="C90" s="375"/>
      <c r="D90" s="380"/>
      <c r="E90" s="26"/>
      <c r="F90" s="26"/>
      <c r="G90" s="26"/>
      <c r="H90" s="16"/>
      <c r="I90" s="16"/>
      <c r="J90" s="16"/>
      <c r="K90" s="16"/>
      <c r="L90" s="36"/>
      <c r="M90" s="30"/>
      <c r="N90" s="17"/>
      <c r="O90" s="37"/>
      <c r="P90" s="384"/>
      <c r="Q90" s="385"/>
      <c r="R90" s="38"/>
      <c r="S90" s="39"/>
      <c r="T90" s="39"/>
      <c r="U90" s="39"/>
      <c r="V90" s="40"/>
      <c r="W90" s="41"/>
      <c r="X90" s="19"/>
      <c r="Y90" s="19"/>
      <c r="Z90" s="42"/>
      <c r="AA90" s="42"/>
      <c r="AB90" s="42"/>
      <c r="AC90" s="17"/>
      <c r="AD90" s="42"/>
      <c r="AE90" s="86"/>
      <c r="AF90" s="2"/>
      <c r="AG90" s="76"/>
      <c r="AH90" s="76"/>
      <c r="AI90" s="584"/>
      <c r="AJ90" s="586"/>
      <c r="AK90" s="587"/>
    </row>
    <row r="91" spans="2:37" customFormat="1" ht="27" hidden="1" customHeight="1" x14ac:dyDescent="0.2">
      <c r="B91" s="26"/>
      <c r="C91" s="375"/>
      <c r="D91" s="380"/>
      <c r="E91" s="26"/>
      <c r="F91" s="26"/>
      <c r="G91" s="26"/>
      <c r="H91" s="16"/>
      <c r="I91" s="16"/>
      <c r="J91" s="16"/>
      <c r="K91" s="16"/>
      <c r="L91" s="36"/>
      <c r="M91" s="30"/>
      <c r="N91" s="17"/>
      <c r="O91" s="37"/>
      <c r="P91" s="384"/>
      <c r="Q91" s="385"/>
      <c r="R91" s="38"/>
      <c r="S91" s="39"/>
      <c r="T91" s="39"/>
      <c r="U91" s="39"/>
      <c r="V91" s="40"/>
      <c r="W91" s="41"/>
      <c r="X91" s="19"/>
      <c r="Y91" s="19"/>
      <c r="Z91" s="42"/>
      <c r="AA91" s="42"/>
      <c r="AB91" s="42"/>
      <c r="AC91" s="17"/>
      <c r="AD91" s="42"/>
      <c r="AE91" s="86"/>
      <c r="AF91" s="2"/>
      <c r="AG91" s="76"/>
      <c r="AH91" s="76"/>
      <c r="AI91" s="584"/>
      <c r="AJ91" s="586"/>
      <c r="AK91" s="587"/>
    </row>
    <row r="92" spans="2:37" customFormat="1" ht="27" hidden="1" customHeight="1" x14ac:dyDescent="0.2">
      <c r="B92" s="26"/>
      <c r="C92" s="375"/>
      <c r="D92" s="380"/>
      <c r="E92" s="26"/>
      <c r="F92" s="26"/>
      <c r="G92" s="26"/>
      <c r="H92" s="16"/>
      <c r="I92" s="16"/>
      <c r="J92" s="16"/>
      <c r="K92" s="16"/>
      <c r="L92" s="36"/>
      <c r="M92" s="30"/>
      <c r="N92" s="17"/>
      <c r="O92" s="37"/>
      <c r="P92" s="384"/>
      <c r="Q92" s="385"/>
      <c r="R92" s="38"/>
      <c r="S92" s="39"/>
      <c r="T92" s="39"/>
      <c r="U92" s="39"/>
      <c r="V92" s="40"/>
      <c r="W92" s="41"/>
      <c r="X92" s="19"/>
      <c r="Y92" s="19"/>
      <c r="Z92" s="42"/>
      <c r="AA92" s="42"/>
      <c r="AB92" s="42"/>
      <c r="AC92" s="17"/>
      <c r="AD92" s="42"/>
      <c r="AE92" s="86"/>
      <c r="AF92" s="2"/>
      <c r="AG92" s="76"/>
      <c r="AH92" s="76"/>
      <c r="AI92" s="584"/>
      <c r="AJ92" s="586"/>
      <c r="AK92" s="587"/>
    </row>
    <row r="93" spans="2:37" customFormat="1" ht="27" hidden="1" customHeight="1" x14ac:dyDescent="0.2">
      <c r="B93" s="26"/>
      <c r="C93" s="375"/>
      <c r="D93" s="380"/>
      <c r="E93" s="26"/>
      <c r="F93" s="26"/>
      <c r="G93" s="26"/>
      <c r="H93" s="16"/>
      <c r="I93" s="16"/>
      <c r="J93" s="16"/>
      <c r="K93" s="16"/>
      <c r="L93" s="36"/>
      <c r="M93" s="30"/>
      <c r="N93" s="17"/>
      <c r="O93" s="37"/>
      <c r="P93" s="384"/>
      <c r="Q93" s="385"/>
      <c r="R93" s="38"/>
      <c r="S93" s="39"/>
      <c r="T93" s="39"/>
      <c r="U93" s="39"/>
      <c r="V93" s="40"/>
      <c r="W93" s="41"/>
      <c r="X93" s="19"/>
      <c r="Y93" s="19"/>
      <c r="Z93" s="42"/>
      <c r="AA93" s="42"/>
      <c r="AB93" s="42"/>
      <c r="AC93" s="17"/>
      <c r="AD93" s="42"/>
      <c r="AE93" s="86"/>
      <c r="AF93" s="2"/>
      <c r="AG93" s="1"/>
      <c r="AH93" s="1"/>
      <c r="AI93" s="583"/>
      <c r="AJ93" s="586"/>
      <c r="AK93" s="587"/>
    </row>
    <row r="94" spans="2:37" customFormat="1" ht="27" hidden="1" customHeight="1" x14ac:dyDescent="0.2">
      <c r="B94" s="26"/>
      <c r="C94" s="375"/>
      <c r="D94" s="380"/>
      <c r="E94" s="26"/>
      <c r="F94" s="26"/>
      <c r="G94" s="26"/>
      <c r="H94" s="16"/>
      <c r="I94" s="16"/>
      <c r="J94" s="16"/>
      <c r="K94" s="16"/>
      <c r="L94" s="36"/>
      <c r="M94" s="30"/>
      <c r="N94" s="17"/>
      <c r="O94" s="37"/>
      <c r="P94" s="384"/>
      <c r="Q94" s="385"/>
      <c r="R94" s="38"/>
      <c r="S94" s="39"/>
      <c r="T94" s="39"/>
      <c r="U94" s="39"/>
      <c r="V94" s="40"/>
      <c r="W94" s="41"/>
      <c r="X94" s="19"/>
      <c r="Y94" s="19"/>
      <c r="Z94" s="42"/>
      <c r="AA94" s="42"/>
      <c r="AB94" s="42"/>
      <c r="AC94" s="17"/>
      <c r="AD94" s="42"/>
      <c r="AE94" s="86"/>
      <c r="AF94" s="2"/>
      <c r="AG94" s="1"/>
      <c r="AH94" s="1"/>
      <c r="AI94" s="583"/>
      <c r="AJ94" s="586"/>
      <c r="AK94" s="587"/>
    </row>
    <row r="95" spans="2:37" customFormat="1" ht="27" hidden="1" customHeight="1" x14ac:dyDescent="0.2">
      <c r="B95" s="26"/>
      <c r="C95" s="375"/>
      <c r="D95" s="380"/>
      <c r="E95" s="26"/>
      <c r="F95" s="26"/>
      <c r="G95" s="26"/>
      <c r="H95" s="16"/>
      <c r="I95" s="16"/>
      <c r="J95" s="16"/>
      <c r="K95" s="16"/>
      <c r="L95" s="36"/>
      <c r="M95" s="30"/>
      <c r="N95" s="17"/>
      <c r="O95" s="37"/>
      <c r="P95" s="384"/>
      <c r="Q95" s="385"/>
      <c r="R95" s="38"/>
      <c r="S95" s="39"/>
      <c r="T95" s="39"/>
      <c r="U95" s="39"/>
      <c r="V95" s="40"/>
      <c r="W95" s="41"/>
      <c r="X95" s="19"/>
      <c r="Y95" s="19"/>
      <c r="Z95" s="42"/>
      <c r="AA95" s="42"/>
      <c r="AB95" s="42"/>
      <c r="AC95" s="17"/>
      <c r="AD95" s="42"/>
      <c r="AE95" s="86"/>
      <c r="AF95" s="2"/>
      <c r="AG95" s="1"/>
      <c r="AH95" s="1"/>
      <c r="AI95" s="583"/>
      <c r="AJ95" s="586"/>
      <c r="AK95" s="587"/>
    </row>
    <row r="96" spans="2:37" customFormat="1" ht="28" hidden="1" customHeight="1" x14ac:dyDescent="0.2">
      <c r="B96" s="26"/>
      <c r="C96" s="375"/>
      <c r="D96" s="380"/>
      <c r="E96" s="26"/>
      <c r="F96" s="26"/>
      <c r="G96" s="26"/>
      <c r="H96" s="26"/>
      <c r="I96" s="16"/>
      <c r="J96" s="16"/>
      <c r="K96" s="16"/>
      <c r="L96" s="36"/>
      <c r="M96" s="30"/>
      <c r="N96" s="17"/>
      <c r="O96" s="37"/>
      <c r="P96" s="384"/>
      <c r="Q96" s="385"/>
      <c r="R96" s="38"/>
      <c r="S96" s="39"/>
      <c r="T96" s="39"/>
      <c r="U96" s="39"/>
      <c r="V96" s="40"/>
      <c r="W96" s="73"/>
      <c r="X96" s="74"/>
      <c r="Y96" s="19"/>
      <c r="Z96" s="42"/>
      <c r="AA96" s="42"/>
      <c r="AB96" s="42"/>
      <c r="AC96" s="17"/>
      <c r="AD96" s="42"/>
      <c r="AE96" s="80"/>
      <c r="AF96" s="16"/>
      <c r="AG96" s="31"/>
      <c r="AH96" s="31"/>
      <c r="AI96" s="585"/>
      <c r="AJ96" s="586"/>
      <c r="AK96" s="587"/>
    </row>
    <row r="97" spans="2:37" customFormat="1" ht="28" hidden="1" customHeight="1" x14ac:dyDescent="0.2">
      <c r="B97" s="26"/>
      <c r="C97" s="375"/>
      <c r="D97" s="380"/>
      <c r="E97" s="26"/>
      <c r="F97" s="26"/>
      <c r="G97" s="26"/>
      <c r="H97" s="16"/>
      <c r="I97" s="16"/>
      <c r="J97" s="16"/>
      <c r="K97" s="16"/>
      <c r="L97" s="36"/>
      <c r="M97" s="30"/>
      <c r="N97" s="17"/>
      <c r="O97" s="37"/>
      <c r="P97" s="384"/>
      <c r="Q97" s="385"/>
      <c r="R97" s="38"/>
      <c r="S97" s="39"/>
      <c r="T97" s="39"/>
      <c r="U97" s="39"/>
      <c r="V97" s="40"/>
      <c r="W97" s="41"/>
      <c r="X97" s="19"/>
      <c r="Y97" s="19"/>
      <c r="Z97" s="42"/>
      <c r="AA97" s="42"/>
      <c r="AB97" s="42"/>
      <c r="AC97" s="45"/>
      <c r="AD97" s="42"/>
      <c r="AE97" s="80"/>
      <c r="AF97" s="16"/>
      <c r="AG97" s="31"/>
      <c r="AH97" s="31"/>
      <c r="AI97" s="585"/>
      <c r="AJ97" s="588"/>
      <c r="AK97" s="587"/>
    </row>
    <row r="98" spans="2:37" customFormat="1" ht="28" hidden="1" customHeight="1" x14ac:dyDescent="0.2">
      <c r="B98" s="26"/>
      <c r="C98" s="375"/>
      <c r="D98" s="380"/>
      <c r="E98" s="26"/>
      <c r="F98" s="26"/>
      <c r="G98" s="26"/>
      <c r="H98" s="16"/>
      <c r="I98" s="16"/>
      <c r="J98" s="16"/>
      <c r="K98" s="16"/>
      <c r="L98" s="36"/>
      <c r="M98" s="30"/>
      <c r="N98" s="17"/>
      <c r="O98" s="37"/>
      <c r="P98" s="384"/>
      <c r="Q98" s="385"/>
      <c r="R98" s="38"/>
      <c r="S98" s="39"/>
      <c r="T98" s="39"/>
      <c r="U98" s="39"/>
      <c r="V98" s="40"/>
      <c r="W98" s="41"/>
      <c r="X98" s="19"/>
      <c r="Y98" s="19"/>
      <c r="Z98" s="42"/>
      <c r="AA98" s="42"/>
      <c r="AB98" s="42"/>
      <c r="AC98" s="45"/>
      <c r="AD98" s="42"/>
      <c r="AE98" s="80"/>
      <c r="AF98" s="16"/>
      <c r="AG98" s="31"/>
      <c r="AH98" s="31"/>
      <c r="AI98" s="585"/>
      <c r="AJ98" s="588"/>
      <c r="AK98" s="587"/>
    </row>
    <row r="99" spans="2:37" customFormat="1" ht="28" hidden="1" customHeight="1" x14ac:dyDescent="0.2">
      <c r="B99" s="26"/>
      <c r="C99" s="375"/>
      <c r="D99" s="380"/>
      <c r="E99" s="26"/>
      <c r="F99" s="26"/>
      <c r="G99" s="26"/>
      <c r="H99" s="16"/>
      <c r="I99" s="16"/>
      <c r="J99" s="16"/>
      <c r="K99" s="16"/>
      <c r="L99" s="36"/>
      <c r="M99" s="30"/>
      <c r="N99" s="17"/>
      <c r="O99" s="37"/>
      <c r="P99" s="384"/>
      <c r="Q99" s="385"/>
      <c r="R99" s="38"/>
      <c r="S99" s="39"/>
      <c r="T99" s="39"/>
      <c r="U99" s="39"/>
      <c r="V99" s="40"/>
      <c r="W99" s="41"/>
      <c r="X99" s="19"/>
      <c r="Y99" s="19"/>
      <c r="Z99" s="42"/>
      <c r="AA99" s="42"/>
      <c r="AB99" s="42"/>
      <c r="AC99" s="45"/>
      <c r="AD99" s="42"/>
      <c r="AE99" s="80"/>
      <c r="AF99" s="16"/>
      <c r="AG99" s="31"/>
      <c r="AH99" s="31"/>
      <c r="AI99" s="585"/>
      <c r="AJ99" s="588"/>
      <c r="AK99" s="587"/>
    </row>
    <row r="100" spans="2:37" customFormat="1" ht="28" hidden="1" customHeight="1" x14ac:dyDescent="0.2">
      <c r="B100" s="26"/>
      <c r="C100" s="375"/>
      <c r="D100" s="380"/>
      <c r="E100" s="26"/>
      <c r="F100" s="26"/>
      <c r="G100" s="26"/>
      <c r="H100" s="26"/>
      <c r="I100" s="16"/>
      <c r="J100" s="16"/>
      <c r="K100" s="16"/>
      <c r="L100" s="36"/>
      <c r="M100" s="30"/>
      <c r="N100" s="17"/>
      <c r="O100" s="75"/>
      <c r="P100" s="387"/>
      <c r="Q100" s="385"/>
      <c r="R100" s="38"/>
      <c r="S100" s="39"/>
      <c r="T100" s="39"/>
      <c r="U100" s="39"/>
      <c r="V100" s="40"/>
      <c r="W100" s="41"/>
      <c r="X100" s="19"/>
      <c r="Y100" s="19"/>
      <c r="Z100" s="42"/>
      <c r="AA100" s="42"/>
      <c r="AB100" s="42"/>
      <c r="AC100" s="45"/>
      <c r="AD100" s="42"/>
      <c r="AE100" s="80"/>
      <c r="AF100" s="16"/>
      <c r="AG100" s="31"/>
      <c r="AH100" s="31"/>
      <c r="AI100" s="585"/>
      <c r="AJ100" s="588"/>
      <c r="AK100" s="587"/>
    </row>
    <row r="101" spans="2:37" customFormat="1" ht="28" hidden="1" customHeight="1" x14ac:dyDescent="0.2">
      <c r="B101" s="26"/>
      <c r="C101" s="375"/>
      <c r="D101" s="380"/>
      <c r="E101" s="26"/>
      <c r="F101" s="26"/>
      <c r="G101" s="26"/>
      <c r="H101" s="16"/>
      <c r="I101" s="16"/>
      <c r="J101" s="16"/>
      <c r="K101" s="16"/>
      <c r="L101" s="36"/>
      <c r="M101" s="30"/>
      <c r="N101" s="17"/>
      <c r="O101" s="75"/>
      <c r="P101" s="387"/>
      <c r="Q101" s="385"/>
      <c r="R101" s="38"/>
      <c r="S101" s="39"/>
      <c r="T101" s="39"/>
      <c r="U101" s="39"/>
      <c r="V101" s="40"/>
      <c r="W101" s="41"/>
      <c r="X101" s="19"/>
      <c r="Y101" s="19"/>
      <c r="Z101" s="42"/>
      <c r="AA101" s="42"/>
      <c r="AB101" s="42"/>
      <c r="AC101" s="17"/>
      <c r="AD101" s="42"/>
      <c r="AE101" s="80"/>
      <c r="AF101" s="16"/>
      <c r="AG101" s="31"/>
      <c r="AH101" s="31"/>
      <c r="AI101" s="585"/>
      <c r="AJ101" s="586"/>
      <c r="AK101" s="587"/>
    </row>
    <row r="102" spans="2:37" customFormat="1" ht="28" hidden="1" customHeight="1" x14ac:dyDescent="0.2">
      <c r="B102" s="26"/>
      <c r="C102" s="375"/>
      <c r="D102" s="380"/>
      <c r="E102" s="26"/>
      <c r="F102" s="26"/>
      <c r="G102" s="26"/>
      <c r="H102" s="16"/>
      <c r="I102" s="16"/>
      <c r="J102" s="16"/>
      <c r="K102" s="16"/>
      <c r="L102" s="36"/>
      <c r="M102" s="30"/>
      <c r="N102" s="17"/>
      <c r="O102" s="37"/>
      <c r="P102" s="384"/>
      <c r="Q102" s="385"/>
      <c r="R102" s="38"/>
      <c r="S102" s="39"/>
      <c r="T102" s="39"/>
      <c r="U102" s="39"/>
      <c r="V102" s="40"/>
      <c r="W102" s="41"/>
      <c r="X102" s="19"/>
      <c r="Y102" s="19"/>
      <c r="Z102" s="42"/>
      <c r="AA102" s="42"/>
      <c r="AB102" s="42"/>
      <c r="AC102" s="17"/>
      <c r="AD102" s="42"/>
      <c r="AE102" s="80"/>
      <c r="AF102" s="16"/>
      <c r="AG102" s="31"/>
      <c r="AH102" s="31"/>
      <c r="AI102" s="585"/>
      <c r="AJ102" s="586"/>
      <c r="AK102" s="587"/>
    </row>
    <row r="103" spans="2:37" customFormat="1" ht="28" hidden="1" customHeight="1" x14ac:dyDescent="0.2">
      <c r="B103" s="26"/>
      <c r="C103" s="375"/>
      <c r="D103" s="380"/>
      <c r="E103" s="26"/>
      <c r="F103" s="26"/>
      <c r="G103" s="26"/>
      <c r="H103" s="26"/>
      <c r="I103" s="16"/>
      <c r="J103" s="16"/>
      <c r="K103" s="16"/>
      <c r="L103" s="36"/>
      <c r="M103" s="30"/>
      <c r="N103" s="17"/>
      <c r="O103" s="37"/>
      <c r="P103" s="384"/>
      <c r="Q103" s="385"/>
      <c r="R103" s="38"/>
      <c r="S103" s="39"/>
      <c r="T103" s="39"/>
      <c r="U103" s="39"/>
      <c r="V103" s="40"/>
      <c r="W103" s="41"/>
      <c r="X103" s="19"/>
      <c r="Y103" s="19"/>
      <c r="Z103" s="42"/>
      <c r="AA103" s="42"/>
      <c r="AB103" s="42"/>
      <c r="AC103" s="17"/>
      <c r="AD103" s="42"/>
      <c r="AE103" s="80"/>
      <c r="AF103" s="16"/>
      <c r="AG103" s="31"/>
      <c r="AH103" s="31"/>
      <c r="AI103" s="585"/>
      <c r="AJ103" s="586"/>
      <c r="AK103" s="587"/>
    </row>
    <row r="104" spans="2:37" customFormat="1" ht="28" hidden="1" customHeight="1" x14ac:dyDescent="0.2">
      <c r="B104" s="26"/>
      <c r="C104" s="375"/>
      <c r="D104" s="380"/>
      <c r="E104" s="26"/>
      <c r="F104" s="26"/>
      <c r="G104" s="26"/>
      <c r="H104" s="26"/>
      <c r="I104" s="16"/>
      <c r="J104" s="16"/>
      <c r="K104" s="16"/>
      <c r="L104" s="36"/>
      <c r="M104" s="30"/>
      <c r="N104" s="17"/>
      <c r="O104" s="37"/>
      <c r="P104" s="384"/>
      <c r="Q104" s="385"/>
      <c r="R104" s="38"/>
      <c r="S104" s="39"/>
      <c r="T104" s="39"/>
      <c r="U104" s="39"/>
      <c r="V104" s="40"/>
      <c r="W104" s="41"/>
      <c r="X104" s="19"/>
      <c r="Y104" s="19"/>
      <c r="Z104" s="42"/>
      <c r="AA104" s="42"/>
      <c r="AB104" s="42"/>
      <c r="AC104" s="17"/>
      <c r="AD104" s="42"/>
      <c r="AE104" s="80"/>
      <c r="AF104" s="16"/>
      <c r="AG104" s="31"/>
      <c r="AH104" s="31"/>
      <c r="AI104" s="585"/>
      <c r="AJ104" s="586"/>
      <c r="AK104" s="587"/>
    </row>
    <row r="105" spans="2:37" customFormat="1" ht="28" hidden="1" customHeight="1" x14ac:dyDescent="0.2">
      <c r="B105" s="26"/>
      <c r="C105" s="375"/>
      <c r="D105" s="380"/>
      <c r="E105" s="26"/>
      <c r="F105" s="26"/>
      <c r="G105" s="26"/>
      <c r="H105" s="16"/>
      <c r="I105" s="16"/>
      <c r="J105" s="16"/>
      <c r="K105" s="16"/>
      <c r="L105" s="36"/>
      <c r="M105" s="30"/>
      <c r="N105" s="17"/>
      <c r="O105" s="37"/>
      <c r="P105" s="384"/>
      <c r="Q105" s="385"/>
      <c r="R105" s="38"/>
      <c r="S105" s="39"/>
      <c r="T105" s="39"/>
      <c r="U105" s="39"/>
      <c r="V105" s="40"/>
      <c r="W105" s="41"/>
      <c r="X105" s="19"/>
      <c r="Y105" s="19"/>
      <c r="Z105" s="42"/>
      <c r="AA105" s="42"/>
      <c r="AB105" s="42"/>
      <c r="AC105" s="17"/>
      <c r="AD105" s="42"/>
      <c r="AE105" s="80"/>
      <c r="AF105" s="16"/>
      <c r="AG105" s="31"/>
      <c r="AH105" s="31"/>
      <c r="AI105" s="585"/>
      <c r="AJ105" s="586"/>
      <c r="AK105" s="587"/>
    </row>
    <row r="106" spans="2:37" customFormat="1" ht="28" hidden="1" customHeight="1" x14ac:dyDescent="0.2">
      <c r="B106" s="26"/>
      <c r="C106" s="375"/>
      <c r="D106" s="380"/>
      <c r="E106" s="26"/>
      <c r="F106" s="26"/>
      <c r="G106" s="26"/>
      <c r="H106" s="16"/>
      <c r="I106" s="16"/>
      <c r="J106" s="16"/>
      <c r="K106" s="16"/>
      <c r="L106" s="36"/>
      <c r="M106" s="30"/>
      <c r="N106" s="17"/>
      <c r="O106" s="37"/>
      <c r="P106" s="384"/>
      <c r="Q106" s="385"/>
      <c r="R106" s="38"/>
      <c r="S106" s="39"/>
      <c r="T106" s="39"/>
      <c r="U106" s="39"/>
      <c r="V106" s="40"/>
      <c r="W106" s="41"/>
      <c r="X106" s="19"/>
      <c r="Y106" s="19"/>
      <c r="Z106" s="42"/>
      <c r="AA106" s="42"/>
      <c r="AB106" s="42"/>
      <c r="AC106" s="17"/>
      <c r="AD106" s="42"/>
      <c r="AE106" s="80"/>
      <c r="AF106" s="16"/>
      <c r="AG106" s="31"/>
      <c r="AH106" s="31"/>
      <c r="AI106" s="585"/>
      <c r="AJ106" s="586"/>
      <c r="AK106" s="587"/>
    </row>
    <row r="107" spans="2:37" customFormat="1" ht="28" hidden="1" customHeight="1" x14ac:dyDescent="0.2">
      <c r="B107" s="26"/>
      <c r="C107" s="375"/>
      <c r="D107" s="380"/>
      <c r="E107" s="26"/>
      <c r="F107" s="26"/>
      <c r="G107" s="26"/>
      <c r="H107" s="16"/>
      <c r="I107" s="16"/>
      <c r="J107" s="16"/>
      <c r="K107" s="16"/>
      <c r="L107" s="36"/>
      <c r="M107" s="30"/>
      <c r="N107" s="17"/>
      <c r="O107" s="37"/>
      <c r="P107" s="384"/>
      <c r="Q107" s="385"/>
      <c r="R107" s="38"/>
      <c r="S107" s="39"/>
      <c r="T107" s="39"/>
      <c r="U107" s="39"/>
      <c r="V107" s="40"/>
      <c r="W107" s="41"/>
      <c r="X107" s="19"/>
      <c r="Y107" s="19"/>
      <c r="Z107" s="42"/>
      <c r="AA107" s="42"/>
      <c r="AB107" s="42"/>
      <c r="AC107" s="17"/>
      <c r="AD107" s="42"/>
      <c r="AE107" s="80"/>
      <c r="AF107" s="16"/>
      <c r="AG107" s="31"/>
      <c r="AH107" s="31"/>
      <c r="AI107" s="585"/>
      <c r="AJ107" s="586"/>
      <c r="AK107" s="587"/>
    </row>
    <row r="108" spans="2:37" customFormat="1" ht="28" hidden="1" customHeight="1" x14ac:dyDescent="0.2">
      <c r="B108" s="26"/>
      <c r="C108" s="375"/>
      <c r="D108" s="380"/>
      <c r="E108" s="26"/>
      <c r="F108" s="26"/>
      <c r="G108" s="26"/>
      <c r="H108" s="16"/>
      <c r="I108" s="16"/>
      <c r="J108" s="16"/>
      <c r="K108" s="16"/>
      <c r="L108" s="36"/>
      <c r="M108" s="30"/>
      <c r="N108" s="17"/>
      <c r="O108" s="37"/>
      <c r="P108" s="384"/>
      <c r="Q108" s="385"/>
      <c r="R108" s="38"/>
      <c r="S108" s="39"/>
      <c r="T108" s="39"/>
      <c r="U108" s="39"/>
      <c r="V108" s="40"/>
      <c r="W108" s="41"/>
      <c r="X108" s="19"/>
      <c r="Y108" s="19"/>
      <c r="Z108" s="42"/>
      <c r="AA108" s="42"/>
      <c r="AB108" s="42"/>
      <c r="AC108" s="17"/>
      <c r="AD108" s="42"/>
      <c r="AE108" s="80"/>
      <c r="AF108" s="16"/>
      <c r="AG108" s="31"/>
      <c r="AH108" s="31"/>
      <c r="AI108" s="585"/>
      <c r="AJ108" s="586"/>
      <c r="AK108" s="587"/>
    </row>
    <row r="109" spans="2:37" customFormat="1" ht="28" hidden="1" customHeight="1" x14ac:dyDescent="0.2">
      <c r="B109" s="26"/>
      <c r="C109" s="375"/>
      <c r="D109" s="380"/>
      <c r="E109" s="26"/>
      <c r="F109" s="26"/>
      <c r="G109" s="26"/>
      <c r="H109" s="16"/>
      <c r="I109" s="16"/>
      <c r="J109" s="16"/>
      <c r="K109" s="16"/>
      <c r="L109" s="36"/>
      <c r="M109" s="30"/>
      <c r="N109" s="17"/>
      <c r="O109" s="37"/>
      <c r="P109" s="384"/>
      <c r="Q109" s="385"/>
      <c r="R109" s="38"/>
      <c r="S109" s="39"/>
      <c r="T109" s="39"/>
      <c r="U109" s="39"/>
      <c r="V109" s="40"/>
      <c r="W109" s="41"/>
      <c r="X109" s="19"/>
      <c r="Y109" s="19"/>
      <c r="Z109" s="42"/>
      <c r="AA109" s="42"/>
      <c r="AB109" s="42"/>
      <c r="AC109" s="17"/>
      <c r="AD109" s="42"/>
      <c r="AE109" s="80"/>
      <c r="AF109" s="16"/>
      <c r="AG109" s="31"/>
      <c r="AH109" s="31"/>
      <c r="AI109" s="585"/>
      <c r="AJ109" s="586"/>
      <c r="AK109" s="587"/>
    </row>
    <row r="110" spans="2:37" customFormat="1" ht="28" hidden="1" customHeight="1" x14ac:dyDescent="0.2">
      <c r="B110" s="26"/>
      <c r="C110" s="375"/>
      <c r="D110" s="380"/>
      <c r="E110" s="26"/>
      <c r="F110" s="26"/>
      <c r="G110" s="26"/>
      <c r="H110" s="16"/>
      <c r="I110" s="16"/>
      <c r="J110" s="16"/>
      <c r="K110" s="16"/>
      <c r="L110" s="36"/>
      <c r="M110" s="30"/>
      <c r="N110" s="17"/>
      <c r="O110" s="37"/>
      <c r="P110" s="384"/>
      <c r="Q110" s="385"/>
      <c r="R110" s="38"/>
      <c r="S110" s="39"/>
      <c r="T110" s="39"/>
      <c r="U110" s="39"/>
      <c r="V110" s="40"/>
      <c r="W110" s="41"/>
      <c r="X110" s="19"/>
      <c r="Y110" s="19"/>
      <c r="Z110" s="42"/>
      <c r="AA110" s="42"/>
      <c r="AB110" s="42"/>
      <c r="AC110" s="17"/>
      <c r="AD110" s="42"/>
      <c r="AE110" s="80"/>
      <c r="AF110" s="16"/>
      <c r="AG110" s="31"/>
      <c r="AH110" s="31"/>
      <c r="AI110" s="585"/>
      <c r="AJ110" s="586"/>
      <c r="AK110" s="587"/>
    </row>
    <row r="111" spans="2:37" customFormat="1" ht="28" hidden="1" customHeight="1" x14ac:dyDescent="0.2">
      <c r="B111" s="26"/>
      <c r="C111" s="375"/>
      <c r="D111" s="380"/>
      <c r="E111" s="26"/>
      <c r="F111" s="26"/>
      <c r="G111" s="26"/>
      <c r="H111" s="26"/>
      <c r="I111" s="16"/>
      <c r="J111" s="16"/>
      <c r="K111" s="16"/>
      <c r="L111" s="36"/>
      <c r="M111" s="30"/>
      <c r="N111" s="17"/>
      <c r="O111" s="37"/>
      <c r="P111" s="384"/>
      <c r="Q111" s="385"/>
      <c r="R111" s="38"/>
      <c r="S111" s="39"/>
      <c r="T111" s="39"/>
      <c r="U111" s="39"/>
      <c r="V111" s="40"/>
      <c r="W111" s="41"/>
      <c r="X111" s="19"/>
      <c r="Y111" s="19"/>
      <c r="Z111" s="42"/>
      <c r="AA111" s="42"/>
      <c r="AB111" s="42"/>
      <c r="AC111" s="17"/>
      <c r="AD111" s="42"/>
      <c r="AE111" s="80"/>
      <c r="AF111" s="16"/>
      <c r="AG111" s="31"/>
      <c r="AH111" s="31"/>
      <c r="AI111" s="585"/>
      <c r="AJ111" s="586"/>
      <c r="AK111" s="587"/>
    </row>
    <row r="112" spans="2:37" customFormat="1" ht="28" hidden="1" customHeight="1" x14ac:dyDescent="0.2">
      <c r="B112" s="26"/>
      <c r="C112" s="375"/>
      <c r="D112" s="380"/>
      <c r="E112" s="26"/>
      <c r="F112" s="26"/>
      <c r="G112" s="26"/>
      <c r="H112" s="16"/>
      <c r="I112" s="16"/>
      <c r="J112" s="16"/>
      <c r="K112" s="16"/>
      <c r="L112" s="36"/>
      <c r="M112" s="30"/>
      <c r="N112" s="17"/>
      <c r="O112" s="37"/>
      <c r="P112" s="384"/>
      <c r="Q112" s="385"/>
      <c r="R112" s="38"/>
      <c r="S112" s="39"/>
      <c r="T112" s="39"/>
      <c r="U112" s="39"/>
      <c r="V112" s="40"/>
      <c r="W112" s="41"/>
      <c r="X112" s="19"/>
      <c r="Y112" s="19"/>
      <c r="Z112" s="42"/>
      <c r="AA112" s="42"/>
      <c r="AB112" s="42"/>
      <c r="AC112" s="17"/>
      <c r="AD112" s="42"/>
      <c r="AE112" s="80"/>
      <c r="AF112" s="16"/>
      <c r="AG112" s="31"/>
      <c r="AH112" s="31"/>
      <c r="AI112" s="585"/>
      <c r="AJ112" s="586"/>
      <c r="AK112" s="587"/>
    </row>
    <row r="113" spans="2:37" ht="39" customHeight="1" x14ac:dyDescent="0.2">
      <c r="C113" s="1013" t="s">
        <v>391</v>
      </c>
      <c r="D113" s="1014"/>
      <c r="E113" s="1014"/>
      <c r="F113" s="1014"/>
      <c r="G113" s="1014"/>
      <c r="H113" s="1014"/>
      <c r="I113" s="1014"/>
      <c r="J113" s="1014"/>
      <c r="K113" s="1014"/>
      <c r="L113" s="1014"/>
      <c r="M113" s="1014"/>
      <c r="N113" s="1014"/>
      <c r="O113" s="1014"/>
      <c r="P113" s="1014"/>
      <c r="Q113" s="1014"/>
      <c r="R113" s="1014"/>
      <c r="S113" s="1014"/>
      <c r="T113" s="1014"/>
      <c r="U113" s="1014"/>
      <c r="V113" s="1014"/>
      <c r="W113" s="1014"/>
      <c r="X113" s="1014"/>
      <c r="Y113" s="1014"/>
      <c r="Z113" s="1014"/>
      <c r="AA113" s="1014"/>
      <c r="AB113" s="1014"/>
      <c r="AC113" s="1015"/>
      <c r="AD113" s="87"/>
      <c r="AE113" s="88">
        <f>SUM(AE73:AE112)</f>
        <v>351.1</v>
      </c>
      <c r="AF113" s="33" t="s">
        <v>36</v>
      </c>
      <c r="AJ113" s="589"/>
      <c r="AK113" s="78"/>
    </row>
    <row r="114" spans="2:37" ht="35" customHeight="1" x14ac:dyDescent="0.2">
      <c r="C114" s="580"/>
      <c r="D114" s="580"/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392"/>
      <c r="P114" s="393"/>
      <c r="Q114" s="393"/>
      <c r="R114" s="394"/>
      <c r="S114" s="395"/>
      <c r="T114" s="395"/>
      <c r="U114" s="395"/>
      <c r="V114" s="394"/>
      <c r="W114" s="394"/>
      <c r="X114" s="394"/>
      <c r="Y114" s="394"/>
      <c r="Z114" s="394"/>
      <c r="AA114" s="394"/>
      <c r="AB114" s="394"/>
      <c r="AC114" s="394"/>
      <c r="AD114" s="394"/>
      <c r="AE114" s="1006" t="s">
        <v>393</v>
      </c>
      <c r="AF114" s="1006"/>
      <c r="AG114" s="1006"/>
      <c r="AH114" s="1006"/>
      <c r="AI114" s="1006"/>
      <c r="AJ114" s="1006"/>
      <c r="AK114" s="405" t="s">
        <v>392</v>
      </c>
    </row>
    <row r="115" spans="2:37" ht="39" customHeight="1" x14ac:dyDescent="0.2">
      <c r="C115" s="580"/>
      <c r="D115" s="580"/>
      <c r="E115" s="580"/>
      <c r="F115" s="580"/>
      <c r="G115" s="580"/>
      <c r="H115" s="580"/>
      <c r="I115" s="580"/>
      <c r="J115" s="580"/>
      <c r="K115" s="580"/>
      <c r="L115" s="580"/>
      <c r="M115" s="580"/>
      <c r="N115" s="580"/>
      <c r="O115" s="1007" t="s">
        <v>538</v>
      </c>
      <c r="P115" s="1008"/>
      <c r="Q115" s="1008"/>
      <c r="R115" s="1008"/>
      <c r="S115" s="1009"/>
      <c r="T115" s="402">
        <f>AE113</f>
        <v>351.1</v>
      </c>
      <c r="U115" s="284"/>
      <c r="V115" s="87"/>
      <c r="W115" s="87"/>
      <c r="X115" s="87"/>
      <c r="Y115" s="87"/>
      <c r="Z115" s="87"/>
      <c r="AA115" s="87"/>
      <c r="AB115" s="87"/>
      <c r="AC115" s="87"/>
      <c r="AD115" s="87"/>
      <c r="AE115" s="1010"/>
      <c r="AF115" s="1011"/>
      <c r="AG115" s="1011"/>
      <c r="AH115" s="1011"/>
      <c r="AI115" s="1011"/>
      <c r="AJ115" s="1011"/>
      <c r="AK115" s="531"/>
    </row>
    <row r="116" spans="2:37" ht="24" customHeight="1" x14ac:dyDescent="0.2">
      <c r="T116" s="581"/>
    </row>
    <row r="117" spans="2:37" ht="207" customHeight="1" x14ac:dyDescent="0.2">
      <c r="B117" s="78"/>
      <c r="C117" s="249"/>
      <c r="D117" s="378"/>
      <c r="E117" s="78"/>
      <c r="F117" s="78"/>
      <c r="G117" s="78"/>
      <c r="H117" s="78"/>
      <c r="I117" s="78"/>
      <c r="J117" s="78"/>
      <c r="K117" s="78"/>
      <c r="L117" s="78"/>
      <c r="M117" s="78"/>
      <c r="N117" s="247" t="s">
        <v>388</v>
      </c>
      <c r="O117" s="78"/>
      <c r="P117" s="383"/>
      <c r="Q117" s="383"/>
      <c r="R117" s="78"/>
      <c r="S117" s="249"/>
      <c r="T117" s="249"/>
      <c r="U117" s="249"/>
      <c r="V117" s="78"/>
      <c r="W117" s="78"/>
      <c r="X117" s="78"/>
      <c r="Y117" s="78"/>
      <c r="Z117" s="78"/>
      <c r="AA117" s="78"/>
      <c r="AB117" s="78"/>
      <c r="AC117" s="78"/>
      <c r="AD117" s="78"/>
      <c r="AE117" s="250"/>
      <c r="AJ117" s="78"/>
    </row>
    <row r="118" spans="2:37" x14ac:dyDescent="0.2">
      <c r="B118" s="78"/>
      <c r="C118" s="249"/>
      <c r="D118" s="3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383"/>
      <c r="Q118" s="383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J118" s="78"/>
    </row>
    <row r="119" spans="2:37" ht="57" x14ac:dyDescent="0.2">
      <c r="B119" s="62" t="s">
        <v>0</v>
      </c>
      <c r="C119" s="376"/>
      <c r="D119" s="381"/>
      <c r="E119" s="62"/>
      <c r="F119" s="62"/>
      <c r="G119" s="62"/>
      <c r="H119" s="62" t="s">
        <v>26</v>
      </c>
      <c r="I119" s="62" t="s">
        <v>27</v>
      </c>
      <c r="J119" s="62" t="s">
        <v>33</v>
      </c>
      <c r="K119" s="62"/>
      <c r="L119" s="63" t="s">
        <v>1</v>
      </c>
      <c r="M119" s="64"/>
      <c r="N119" s="65" t="s">
        <v>3</v>
      </c>
      <c r="O119" s="66" t="s">
        <v>4</v>
      </c>
      <c r="P119" s="66"/>
      <c r="Q119" s="66" t="s">
        <v>5</v>
      </c>
      <c r="R119" s="67" t="s">
        <v>6</v>
      </c>
      <c r="S119" s="68" t="s">
        <v>32</v>
      </c>
      <c r="T119" s="68"/>
      <c r="U119" s="68"/>
      <c r="V119" s="69" t="s">
        <v>7</v>
      </c>
      <c r="W119" s="70" t="s">
        <v>8</v>
      </c>
      <c r="X119" s="71" t="s">
        <v>9</v>
      </c>
      <c r="Y119" s="71" t="s">
        <v>10</v>
      </c>
      <c r="Z119" s="62" t="s">
        <v>11</v>
      </c>
      <c r="AA119" s="62" t="s">
        <v>15</v>
      </c>
      <c r="AB119" s="62"/>
      <c r="AC119" s="62" t="s">
        <v>17</v>
      </c>
      <c r="AD119" s="62" t="s">
        <v>19</v>
      </c>
      <c r="AE119" s="68" t="s">
        <v>31</v>
      </c>
      <c r="AF119" s="72" t="s">
        <v>20</v>
      </c>
      <c r="AG119" s="72" t="s">
        <v>16</v>
      </c>
      <c r="AH119" s="72"/>
      <c r="AI119" s="72" t="s">
        <v>22</v>
      </c>
      <c r="AJ119" s="62" t="s">
        <v>17</v>
      </c>
    </row>
    <row r="120" spans="2:37" s="172" customFormat="1" ht="31" customHeight="1" x14ac:dyDescent="0.25">
      <c r="B120" s="26"/>
      <c r="C120" s="375"/>
      <c r="D120" s="380"/>
      <c r="E120" s="26"/>
      <c r="F120" s="26"/>
      <c r="G120" s="26"/>
      <c r="H120" s="16"/>
      <c r="I120" s="16"/>
      <c r="J120" s="16"/>
      <c r="K120" s="16"/>
      <c r="L120" s="36"/>
      <c r="M120" s="30"/>
      <c r="N120" s="17"/>
      <c r="O120" s="37"/>
      <c r="P120" s="384"/>
      <c r="Q120" s="385"/>
      <c r="R120" s="38"/>
      <c r="S120" s="39"/>
      <c r="T120" s="39"/>
      <c r="U120" s="39"/>
      <c r="V120" s="40"/>
      <c r="W120" s="41"/>
      <c r="X120" s="19"/>
      <c r="Y120" s="19"/>
      <c r="Z120" s="42"/>
      <c r="AA120" s="42"/>
      <c r="AB120" s="42"/>
      <c r="AC120" s="17"/>
      <c r="AD120" s="42"/>
      <c r="AE120" s="86"/>
      <c r="AF120" s="179"/>
      <c r="AG120" s="180"/>
      <c r="AH120" s="181"/>
      <c r="AI120" s="179"/>
      <c r="AJ120" s="17"/>
    </row>
    <row r="121" spans="2:37" s="172" customFormat="1" ht="31" customHeight="1" x14ac:dyDescent="0.25">
      <c r="B121" s="26"/>
      <c r="C121" s="375"/>
      <c r="D121" s="380"/>
      <c r="E121" s="26"/>
      <c r="F121" s="26"/>
      <c r="G121" s="26"/>
      <c r="H121" s="16"/>
      <c r="I121" s="16"/>
      <c r="J121" s="16"/>
      <c r="K121" s="16"/>
      <c r="L121" s="36"/>
      <c r="M121" s="30"/>
      <c r="N121" s="17"/>
      <c r="O121" s="37"/>
      <c r="P121" s="384"/>
      <c r="Q121" s="385"/>
      <c r="R121" s="38"/>
      <c r="S121" s="39"/>
      <c r="T121" s="39"/>
      <c r="U121" s="39"/>
      <c r="V121" s="40"/>
      <c r="W121" s="41"/>
      <c r="X121" s="19"/>
      <c r="Y121" s="19"/>
      <c r="Z121" s="42"/>
      <c r="AA121" s="42"/>
      <c r="AB121" s="42"/>
      <c r="AC121" s="17"/>
      <c r="AD121" s="42"/>
      <c r="AE121" s="86"/>
      <c r="AF121" s="179"/>
      <c r="AG121" s="180"/>
      <c r="AH121" s="181"/>
      <c r="AI121" s="179"/>
      <c r="AJ121" s="17"/>
    </row>
    <row r="122" spans="2:37" customFormat="1" ht="27" hidden="1" customHeight="1" x14ac:dyDescent="0.2">
      <c r="B122" s="26"/>
      <c r="C122" s="375"/>
      <c r="D122" s="380"/>
      <c r="E122" s="26"/>
      <c r="F122" s="26"/>
      <c r="G122" s="26"/>
      <c r="H122" s="16"/>
      <c r="I122" s="16"/>
      <c r="J122" s="16"/>
      <c r="K122" s="16"/>
      <c r="L122" s="36"/>
      <c r="M122" s="30"/>
      <c r="N122" s="17"/>
      <c r="O122" s="37"/>
      <c r="P122" s="384"/>
      <c r="Q122" s="385"/>
      <c r="R122" s="38"/>
      <c r="S122" s="39"/>
      <c r="T122" s="39"/>
      <c r="U122" s="39"/>
      <c r="V122" s="40"/>
      <c r="W122" s="41"/>
      <c r="X122" s="19"/>
      <c r="Y122" s="19"/>
      <c r="Z122" s="42"/>
      <c r="AA122" s="42"/>
      <c r="AB122" s="42"/>
      <c r="AC122" s="17"/>
      <c r="AD122" s="42"/>
      <c r="AE122" s="86"/>
      <c r="AF122" s="2"/>
      <c r="AG122" s="76"/>
      <c r="AH122" s="76"/>
      <c r="AI122" s="77"/>
      <c r="AJ122" s="17"/>
    </row>
    <row r="123" spans="2:37" customFormat="1" ht="27" hidden="1" customHeight="1" x14ac:dyDescent="0.2">
      <c r="B123" s="26"/>
      <c r="C123" s="375"/>
      <c r="D123" s="380"/>
      <c r="E123" s="26"/>
      <c r="F123" s="26"/>
      <c r="G123" s="26"/>
      <c r="H123" s="16"/>
      <c r="I123" s="16"/>
      <c r="J123" s="16"/>
      <c r="K123" s="16"/>
      <c r="L123" s="36"/>
      <c r="M123" s="30"/>
      <c r="N123" s="17"/>
      <c r="O123" s="37"/>
      <c r="P123" s="384"/>
      <c r="Q123" s="385"/>
      <c r="R123" s="38"/>
      <c r="S123" s="39"/>
      <c r="T123" s="39"/>
      <c r="U123" s="39"/>
      <c r="V123" s="40"/>
      <c r="W123" s="41"/>
      <c r="X123" s="19"/>
      <c r="Y123" s="19"/>
      <c r="Z123" s="42"/>
      <c r="AA123" s="42"/>
      <c r="AB123" s="42"/>
      <c r="AC123" s="17"/>
      <c r="AD123" s="42"/>
      <c r="AE123" s="86"/>
      <c r="AF123" s="2"/>
      <c r="AG123" s="76"/>
      <c r="AH123" s="76"/>
      <c r="AI123" s="77"/>
      <c r="AJ123" s="17"/>
    </row>
    <row r="124" spans="2:37" customFormat="1" ht="27" hidden="1" customHeight="1" x14ac:dyDescent="0.2">
      <c r="B124" s="26"/>
      <c r="C124" s="375"/>
      <c r="D124" s="380"/>
      <c r="E124" s="26"/>
      <c r="F124" s="26"/>
      <c r="G124" s="26"/>
      <c r="H124" s="16"/>
      <c r="I124" s="16"/>
      <c r="J124" s="16"/>
      <c r="K124" s="16"/>
      <c r="L124" s="36"/>
      <c r="M124" s="30"/>
      <c r="N124" s="17"/>
      <c r="O124" s="37"/>
      <c r="P124" s="384"/>
      <c r="Q124" s="385"/>
      <c r="R124" s="38"/>
      <c r="S124" s="39"/>
      <c r="T124" s="39"/>
      <c r="U124" s="39"/>
      <c r="V124" s="40"/>
      <c r="W124" s="41"/>
      <c r="X124" s="19"/>
      <c r="Y124" s="19"/>
      <c r="Z124" s="42"/>
      <c r="AA124" s="42"/>
      <c r="AB124" s="42"/>
      <c r="AC124" s="17"/>
      <c r="AD124" s="42"/>
      <c r="AE124" s="86"/>
      <c r="AF124" s="2"/>
      <c r="AG124" s="76"/>
      <c r="AH124" s="76"/>
      <c r="AI124" s="77"/>
      <c r="AJ124" s="17"/>
    </row>
    <row r="125" spans="2:37" customFormat="1" ht="27" hidden="1" customHeight="1" x14ac:dyDescent="0.2">
      <c r="B125" s="26"/>
      <c r="C125" s="375"/>
      <c r="D125" s="380"/>
      <c r="E125" s="26"/>
      <c r="F125" s="26"/>
      <c r="G125" s="26"/>
      <c r="H125" s="16"/>
      <c r="I125" s="16"/>
      <c r="J125" s="16"/>
      <c r="K125" s="16"/>
      <c r="L125" s="36"/>
      <c r="M125" s="30"/>
      <c r="N125" s="17"/>
      <c r="O125" s="37"/>
      <c r="P125" s="384"/>
      <c r="Q125" s="385"/>
      <c r="R125" s="38"/>
      <c r="S125" s="39"/>
      <c r="T125" s="39"/>
      <c r="U125" s="39"/>
      <c r="V125" s="40"/>
      <c r="W125" s="41"/>
      <c r="X125" s="19"/>
      <c r="Y125" s="19"/>
      <c r="Z125" s="42"/>
      <c r="AA125" s="42"/>
      <c r="AB125" s="42"/>
      <c r="AC125" s="17"/>
      <c r="AD125" s="42"/>
      <c r="AE125" s="86"/>
      <c r="AF125" s="2"/>
      <c r="AG125" s="76"/>
      <c r="AH125" s="76"/>
      <c r="AI125" s="77"/>
      <c r="AJ125" s="17"/>
    </row>
    <row r="126" spans="2:37" customFormat="1" ht="27" hidden="1" customHeight="1" x14ac:dyDescent="0.2">
      <c r="B126" s="26"/>
      <c r="C126" s="375"/>
      <c r="D126" s="380"/>
      <c r="E126" s="26"/>
      <c r="F126" s="26"/>
      <c r="G126" s="26"/>
      <c r="H126" s="16"/>
      <c r="I126" s="16"/>
      <c r="J126" s="16"/>
      <c r="K126" s="16"/>
      <c r="L126" s="36"/>
      <c r="M126" s="30"/>
      <c r="N126" s="17"/>
      <c r="O126" s="37"/>
      <c r="P126" s="384"/>
      <c r="Q126" s="385"/>
      <c r="R126" s="38"/>
      <c r="S126" s="39"/>
      <c r="T126" s="39"/>
      <c r="U126" s="39"/>
      <c r="V126" s="40"/>
      <c r="W126" s="41"/>
      <c r="X126" s="19"/>
      <c r="Y126" s="19"/>
      <c r="Z126" s="42"/>
      <c r="AA126" s="42"/>
      <c r="AB126" s="42"/>
      <c r="AC126" s="17"/>
      <c r="AD126" s="42"/>
      <c r="AE126" s="86"/>
      <c r="AF126" s="2"/>
      <c r="AG126" s="76"/>
      <c r="AH126" s="76"/>
      <c r="AI126" s="77"/>
      <c r="AJ126" s="17"/>
    </row>
    <row r="127" spans="2:37" customFormat="1" ht="27" hidden="1" customHeight="1" x14ac:dyDescent="0.2">
      <c r="B127" s="26"/>
      <c r="C127" s="375"/>
      <c r="D127" s="380"/>
      <c r="E127" s="26"/>
      <c r="F127" s="26"/>
      <c r="G127" s="26"/>
      <c r="H127" s="16"/>
      <c r="I127" s="16"/>
      <c r="J127" s="16"/>
      <c r="K127" s="16"/>
      <c r="L127" s="36"/>
      <c r="M127" s="30"/>
      <c r="N127" s="17"/>
      <c r="O127" s="37"/>
      <c r="P127" s="384"/>
      <c r="Q127" s="385"/>
      <c r="R127" s="38"/>
      <c r="S127" s="39"/>
      <c r="T127" s="39"/>
      <c r="U127" s="39"/>
      <c r="V127" s="40"/>
      <c r="W127" s="41"/>
      <c r="X127" s="19"/>
      <c r="Y127" s="19"/>
      <c r="Z127" s="42"/>
      <c r="AA127" s="42"/>
      <c r="AB127" s="42"/>
      <c r="AC127" s="17"/>
      <c r="AD127" s="42"/>
      <c r="AE127" s="86"/>
      <c r="AF127" s="2"/>
      <c r="AG127" s="76"/>
      <c r="AH127" s="76"/>
      <c r="AI127" s="77"/>
      <c r="AJ127" s="17"/>
    </row>
    <row r="128" spans="2:37" customFormat="1" ht="27" hidden="1" customHeight="1" x14ac:dyDescent="0.2">
      <c r="B128" s="26"/>
      <c r="C128" s="375"/>
      <c r="D128" s="380"/>
      <c r="E128" s="26"/>
      <c r="F128" s="26"/>
      <c r="G128" s="26"/>
      <c r="H128" s="16"/>
      <c r="I128" s="16"/>
      <c r="J128" s="16"/>
      <c r="K128" s="16"/>
      <c r="L128" s="36"/>
      <c r="M128" s="30"/>
      <c r="N128" s="17"/>
      <c r="O128" s="37"/>
      <c r="P128" s="384"/>
      <c r="Q128" s="385"/>
      <c r="R128" s="38"/>
      <c r="S128" s="39"/>
      <c r="T128" s="39"/>
      <c r="U128" s="39"/>
      <c r="V128" s="40"/>
      <c r="W128" s="41"/>
      <c r="X128" s="19"/>
      <c r="Y128" s="19"/>
      <c r="Z128" s="42"/>
      <c r="AA128" s="42"/>
      <c r="AB128" s="42"/>
      <c r="AC128" s="17"/>
      <c r="AD128" s="42"/>
      <c r="AE128" s="86"/>
      <c r="AF128" s="2"/>
      <c r="AG128" s="76"/>
      <c r="AH128" s="76"/>
      <c r="AI128" s="77"/>
      <c r="AJ128" s="17"/>
    </row>
    <row r="129" spans="2:36" customFormat="1" ht="27" hidden="1" customHeight="1" x14ac:dyDescent="0.2">
      <c r="B129" s="26"/>
      <c r="C129" s="375"/>
      <c r="D129" s="380"/>
      <c r="E129" s="26"/>
      <c r="F129" s="26"/>
      <c r="G129" s="26"/>
      <c r="H129" s="16"/>
      <c r="I129" s="16"/>
      <c r="J129" s="16"/>
      <c r="K129" s="16"/>
      <c r="L129" s="36"/>
      <c r="M129" s="30"/>
      <c r="N129" s="17"/>
      <c r="O129" s="37"/>
      <c r="P129" s="384"/>
      <c r="Q129" s="385"/>
      <c r="R129" s="38"/>
      <c r="S129" s="39"/>
      <c r="T129" s="39"/>
      <c r="U129" s="39"/>
      <c r="V129" s="40"/>
      <c r="W129" s="41"/>
      <c r="X129" s="19"/>
      <c r="Y129" s="19"/>
      <c r="Z129" s="42"/>
      <c r="AA129" s="42"/>
      <c r="AB129" s="42"/>
      <c r="AC129" s="17"/>
      <c r="AD129" s="42"/>
      <c r="AE129" s="86"/>
      <c r="AF129" s="2"/>
      <c r="AG129" s="76"/>
      <c r="AH129" s="76"/>
      <c r="AI129" s="77"/>
      <c r="AJ129" s="17"/>
    </row>
    <row r="130" spans="2:36" customFormat="1" ht="27" hidden="1" customHeight="1" x14ac:dyDescent="0.2">
      <c r="B130" s="26"/>
      <c r="C130" s="375"/>
      <c r="D130" s="380"/>
      <c r="E130" s="26"/>
      <c r="F130" s="26"/>
      <c r="G130" s="26"/>
      <c r="H130" s="16"/>
      <c r="I130" s="16"/>
      <c r="J130" s="16"/>
      <c r="K130" s="16"/>
      <c r="L130" s="36"/>
      <c r="M130" s="30"/>
      <c r="N130" s="17"/>
      <c r="O130" s="37"/>
      <c r="P130" s="384"/>
      <c r="Q130" s="385"/>
      <c r="R130" s="38"/>
      <c r="S130" s="39"/>
      <c r="T130" s="39"/>
      <c r="U130" s="39"/>
      <c r="V130" s="40"/>
      <c r="W130" s="41"/>
      <c r="X130" s="19"/>
      <c r="Y130" s="19"/>
      <c r="Z130" s="42"/>
      <c r="AA130" s="42"/>
      <c r="AB130" s="42"/>
      <c r="AC130" s="17"/>
      <c r="AD130" s="42"/>
      <c r="AE130" s="86"/>
      <c r="AF130" s="2"/>
      <c r="AG130" s="76"/>
      <c r="AH130" s="76"/>
      <c r="AI130" s="77"/>
      <c r="AJ130" s="17"/>
    </row>
    <row r="131" spans="2:36" customFormat="1" ht="27" hidden="1" customHeight="1" x14ac:dyDescent="0.2">
      <c r="B131" s="26"/>
      <c r="C131" s="375"/>
      <c r="D131" s="380"/>
      <c r="E131" s="26"/>
      <c r="F131" s="26"/>
      <c r="G131" s="26"/>
      <c r="H131" s="16"/>
      <c r="I131" s="16"/>
      <c r="J131" s="16"/>
      <c r="K131" s="16"/>
      <c r="L131" s="36"/>
      <c r="M131" s="30"/>
      <c r="N131" s="17"/>
      <c r="O131" s="37"/>
      <c r="P131" s="384"/>
      <c r="Q131" s="385"/>
      <c r="R131" s="38"/>
      <c r="S131" s="39"/>
      <c r="T131" s="39"/>
      <c r="U131" s="39"/>
      <c r="V131" s="40"/>
      <c r="W131" s="41"/>
      <c r="X131" s="19"/>
      <c r="Y131" s="19"/>
      <c r="Z131" s="42"/>
      <c r="AA131" s="42"/>
      <c r="AB131" s="42"/>
      <c r="AC131" s="17"/>
      <c r="AD131" s="42"/>
      <c r="AE131" s="86"/>
      <c r="AF131" s="2"/>
      <c r="AG131" s="1"/>
      <c r="AH131" s="1"/>
      <c r="AI131" s="5"/>
      <c r="AJ131" s="17"/>
    </row>
    <row r="132" spans="2:36" customFormat="1" ht="27" hidden="1" customHeight="1" x14ac:dyDescent="0.2">
      <c r="B132" s="26"/>
      <c r="C132" s="375"/>
      <c r="D132" s="380"/>
      <c r="E132" s="26"/>
      <c r="F132" s="26"/>
      <c r="G132" s="26"/>
      <c r="H132" s="16"/>
      <c r="I132" s="16"/>
      <c r="J132" s="16"/>
      <c r="K132" s="16"/>
      <c r="L132" s="36"/>
      <c r="M132" s="30"/>
      <c r="N132" s="17"/>
      <c r="O132" s="37"/>
      <c r="P132" s="384"/>
      <c r="Q132" s="385"/>
      <c r="R132" s="38"/>
      <c r="S132" s="39"/>
      <c r="T132" s="39"/>
      <c r="U132" s="39"/>
      <c r="V132" s="40"/>
      <c r="W132" s="41"/>
      <c r="X132" s="19"/>
      <c r="Y132" s="19"/>
      <c r="Z132" s="42"/>
      <c r="AA132" s="42"/>
      <c r="AB132" s="42"/>
      <c r="AC132" s="17"/>
      <c r="AD132" s="42"/>
      <c r="AE132" s="86"/>
      <c r="AF132" s="2"/>
      <c r="AG132" s="1"/>
      <c r="AH132" s="1"/>
      <c r="AI132" s="5"/>
      <c r="AJ132" s="17"/>
    </row>
    <row r="133" spans="2:36" customFormat="1" ht="27" hidden="1" customHeight="1" x14ac:dyDescent="0.2">
      <c r="B133" s="26"/>
      <c r="C133" s="375"/>
      <c r="D133" s="380"/>
      <c r="E133" s="26"/>
      <c r="F133" s="26"/>
      <c r="G133" s="26"/>
      <c r="H133" s="16"/>
      <c r="I133" s="16"/>
      <c r="J133" s="16"/>
      <c r="K133" s="16"/>
      <c r="L133" s="36"/>
      <c r="M133" s="30"/>
      <c r="N133" s="17"/>
      <c r="O133" s="37"/>
      <c r="P133" s="384"/>
      <c r="Q133" s="385"/>
      <c r="R133" s="38"/>
      <c r="S133" s="39"/>
      <c r="T133" s="39"/>
      <c r="U133" s="39"/>
      <c r="V133" s="40"/>
      <c r="W133" s="41"/>
      <c r="X133" s="19"/>
      <c r="Y133" s="19"/>
      <c r="Z133" s="42"/>
      <c r="AA133" s="42"/>
      <c r="AB133" s="42"/>
      <c r="AC133" s="17"/>
      <c r="AD133" s="42"/>
      <c r="AE133" s="86"/>
      <c r="AF133" s="2"/>
      <c r="AG133" s="1"/>
      <c r="AH133" s="1"/>
      <c r="AI133" s="5"/>
      <c r="AJ133" s="17"/>
    </row>
    <row r="134" spans="2:36" customFormat="1" ht="27" hidden="1" customHeight="1" x14ac:dyDescent="0.2">
      <c r="B134" s="26"/>
      <c r="C134" s="375"/>
      <c r="D134" s="380"/>
      <c r="E134" s="26"/>
      <c r="F134" s="26"/>
      <c r="G134" s="26"/>
      <c r="H134" s="16"/>
      <c r="I134" s="16"/>
      <c r="J134" s="16"/>
      <c r="K134" s="16"/>
      <c r="L134" s="36"/>
      <c r="M134" s="30"/>
      <c r="N134" s="17"/>
      <c r="O134" s="37"/>
      <c r="P134" s="384"/>
      <c r="Q134" s="385"/>
      <c r="R134" s="38"/>
      <c r="S134" s="39"/>
      <c r="T134" s="39"/>
      <c r="U134" s="39"/>
      <c r="V134" s="40"/>
      <c r="W134" s="41"/>
      <c r="X134" s="19"/>
      <c r="Y134" s="19"/>
      <c r="Z134" s="42"/>
      <c r="AA134" s="42"/>
      <c r="AB134" s="42"/>
      <c r="AC134" s="17"/>
      <c r="AD134" s="42"/>
      <c r="AE134" s="86"/>
      <c r="AF134" s="2"/>
      <c r="AG134" s="1"/>
      <c r="AH134" s="1"/>
      <c r="AI134" s="5"/>
      <c r="AJ134" s="17"/>
    </row>
    <row r="135" spans="2:36" customFormat="1" ht="27" hidden="1" customHeight="1" x14ac:dyDescent="0.2">
      <c r="B135" s="26"/>
      <c r="C135" s="375"/>
      <c r="D135" s="380"/>
      <c r="E135" s="26"/>
      <c r="F135" s="26"/>
      <c r="G135" s="26"/>
      <c r="H135" s="16"/>
      <c r="I135" s="16"/>
      <c r="J135" s="16"/>
      <c r="K135" s="16"/>
      <c r="L135" s="36"/>
      <c r="M135" s="30"/>
      <c r="N135" s="17"/>
      <c r="O135" s="37"/>
      <c r="P135" s="384"/>
      <c r="Q135" s="385"/>
      <c r="R135" s="38"/>
      <c r="S135" s="39"/>
      <c r="T135" s="39"/>
      <c r="U135" s="39"/>
      <c r="V135" s="40"/>
      <c r="W135" s="41"/>
      <c r="X135" s="19"/>
      <c r="Y135" s="19"/>
      <c r="Z135" s="42"/>
      <c r="AA135" s="42"/>
      <c r="AB135" s="42"/>
      <c r="AC135" s="17"/>
      <c r="AD135" s="42"/>
      <c r="AE135" s="86"/>
      <c r="AF135" s="2"/>
      <c r="AG135" s="1"/>
      <c r="AH135" s="1"/>
      <c r="AI135" s="5"/>
      <c r="AJ135" s="17"/>
    </row>
    <row r="136" spans="2:36" customFormat="1" ht="29" hidden="1" customHeight="1" x14ac:dyDescent="0.2">
      <c r="B136" s="26"/>
      <c r="C136" s="375"/>
      <c r="D136" s="380"/>
      <c r="E136" s="26"/>
      <c r="F136" s="26"/>
      <c r="G136" s="26"/>
      <c r="H136" s="16"/>
      <c r="I136" s="16"/>
      <c r="J136" s="16"/>
      <c r="K136" s="16"/>
      <c r="L136" s="36"/>
      <c r="M136" s="30"/>
      <c r="N136" s="17"/>
      <c r="O136" s="37"/>
      <c r="P136" s="384"/>
      <c r="Q136" s="385"/>
      <c r="R136" s="38"/>
      <c r="S136" s="39"/>
      <c r="T136" s="286"/>
      <c r="U136" s="286"/>
      <c r="V136" s="14"/>
      <c r="W136" s="6"/>
      <c r="X136" s="4"/>
      <c r="Y136" s="4"/>
      <c r="Z136" s="15"/>
      <c r="AA136" s="46"/>
      <c r="AB136" s="46"/>
      <c r="AC136" s="3"/>
      <c r="AD136" s="15"/>
      <c r="AE136" s="86"/>
      <c r="AF136" s="2"/>
      <c r="AG136" s="1"/>
      <c r="AH136" s="1"/>
      <c r="AI136" s="5"/>
      <c r="AJ136" s="3"/>
    </row>
    <row r="137" spans="2:36" customFormat="1" ht="27" hidden="1" customHeight="1" x14ac:dyDescent="0.2">
      <c r="B137" s="26"/>
      <c r="C137" s="375"/>
      <c r="D137" s="380"/>
      <c r="E137" s="26"/>
      <c r="F137" s="26"/>
      <c r="G137" s="26"/>
      <c r="H137" s="16"/>
      <c r="I137" s="16"/>
      <c r="J137" s="16"/>
      <c r="K137" s="16"/>
      <c r="L137" s="36"/>
      <c r="M137" s="30"/>
      <c r="N137" s="17"/>
      <c r="O137" s="37"/>
      <c r="P137" s="384"/>
      <c r="Q137" s="385"/>
      <c r="R137" s="38"/>
      <c r="S137" s="39"/>
      <c r="T137" s="39"/>
      <c r="U137" s="39"/>
      <c r="V137" s="40"/>
      <c r="W137" s="41"/>
      <c r="X137" s="19"/>
      <c r="Y137" s="19"/>
      <c r="Z137" s="42"/>
      <c r="AA137" s="42"/>
      <c r="AB137" s="42"/>
      <c r="AC137" s="17"/>
      <c r="AD137" s="42"/>
      <c r="AE137" s="86"/>
      <c r="AF137" s="2"/>
      <c r="AG137" s="1"/>
      <c r="AH137" s="1"/>
      <c r="AI137" s="5"/>
      <c r="AJ137" s="17"/>
    </row>
    <row r="138" spans="2:36" customFormat="1" ht="27" hidden="1" customHeight="1" x14ac:dyDescent="0.2">
      <c r="B138" s="26"/>
      <c r="C138" s="375"/>
      <c r="D138" s="380"/>
      <c r="E138" s="26"/>
      <c r="F138" s="26"/>
      <c r="G138" s="26"/>
      <c r="H138" s="16"/>
      <c r="I138" s="16"/>
      <c r="J138" s="16"/>
      <c r="K138" s="16"/>
      <c r="L138" s="36"/>
      <c r="M138" s="30"/>
      <c r="N138" s="17"/>
      <c r="O138" s="37"/>
      <c r="P138" s="384"/>
      <c r="Q138" s="385"/>
      <c r="R138" s="38"/>
      <c r="S138" s="39"/>
      <c r="T138" s="39"/>
      <c r="U138" s="39"/>
      <c r="V138" s="40"/>
      <c r="W138" s="41"/>
      <c r="X138" s="19"/>
      <c r="Y138" s="19"/>
      <c r="Z138" s="42"/>
      <c r="AA138" s="42"/>
      <c r="AB138" s="42"/>
      <c r="AC138" s="17"/>
      <c r="AD138" s="42"/>
      <c r="AE138" s="86"/>
      <c r="AF138" s="2"/>
      <c r="AG138" s="1"/>
      <c r="AH138" s="1"/>
      <c r="AI138" s="5"/>
      <c r="AJ138" s="17"/>
    </row>
    <row r="139" spans="2:36" customFormat="1" ht="27" hidden="1" customHeight="1" x14ac:dyDescent="0.2">
      <c r="B139" s="26"/>
      <c r="C139" s="375"/>
      <c r="D139" s="380"/>
      <c r="E139" s="26"/>
      <c r="F139" s="26"/>
      <c r="G139" s="26"/>
      <c r="H139" s="16"/>
      <c r="I139" s="16"/>
      <c r="J139" s="16"/>
      <c r="K139" s="16"/>
      <c r="L139" s="36"/>
      <c r="M139" s="30"/>
      <c r="N139" s="17"/>
      <c r="O139" s="37"/>
      <c r="P139" s="384"/>
      <c r="Q139" s="385"/>
      <c r="R139" s="38"/>
      <c r="S139" s="39"/>
      <c r="T139" s="39"/>
      <c r="U139" s="39"/>
      <c r="V139" s="40"/>
      <c r="W139" s="41"/>
      <c r="X139" s="19"/>
      <c r="Y139" s="19"/>
      <c r="Z139" s="42"/>
      <c r="AA139" s="42"/>
      <c r="AB139" s="42"/>
      <c r="AC139" s="17"/>
      <c r="AD139" s="42"/>
      <c r="AE139" s="86"/>
      <c r="AF139" s="2"/>
      <c r="AG139" s="1"/>
      <c r="AH139" s="1"/>
      <c r="AI139" s="5"/>
      <c r="AJ139" s="17"/>
    </row>
    <row r="140" spans="2:36" customFormat="1" ht="27" hidden="1" customHeight="1" x14ac:dyDescent="0.2">
      <c r="B140" s="26"/>
      <c r="C140" s="375"/>
      <c r="D140" s="380"/>
      <c r="E140" s="26"/>
      <c r="F140" s="26"/>
      <c r="G140" s="26"/>
      <c r="H140" s="16"/>
      <c r="I140" s="16"/>
      <c r="J140" s="16"/>
      <c r="K140" s="16"/>
      <c r="L140" s="36"/>
      <c r="M140" s="30"/>
      <c r="N140" s="17"/>
      <c r="O140" s="37"/>
      <c r="P140" s="384"/>
      <c r="Q140" s="385"/>
      <c r="R140" s="38"/>
      <c r="S140" s="39"/>
      <c r="T140" s="39"/>
      <c r="U140" s="39"/>
      <c r="V140" s="40"/>
      <c r="W140" s="41"/>
      <c r="X140" s="19"/>
      <c r="Y140" s="19"/>
      <c r="Z140" s="42"/>
      <c r="AA140" s="42"/>
      <c r="AB140" s="42"/>
      <c r="AC140" s="17"/>
      <c r="AD140" s="42"/>
      <c r="AE140" s="86"/>
      <c r="AF140" s="2"/>
      <c r="AG140" s="1"/>
      <c r="AH140" s="1"/>
      <c r="AI140" s="5"/>
      <c r="AJ140" s="17"/>
    </row>
    <row r="141" spans="2:36" customFormat="1" ht="27" hidden="1" customHeight="1" x14ac:dyDescent="0.2">
      <c r="B141" s="26"/>
      <c r="C141" s="375"/>
      <c r="D141" s="380"/>
      <c r="E141" s="26"/>
      <c r="F141" s="26"/>
      <c r="G141" s="26"/>
      <c r="H141" s="16"/>
      <c r="I141" s="16"/>
      <c r="J141" s="16"/>
      <c r="K141" s="16"/>
      <c r="L141" s="36"/>
      <c r="M141" s="30"/>
      <c r="N141" s="17"/>
      <c r="O141" s="37"/>
      <c r="P141" s="384"/>
      <c r="Q141" s="385"/>
      <c r="R141" s="38"/>
      <c r="S141" s="39"/>
      <c r="T141" s="39"/>
      <c r="U141" s="39"/>
      <c r="V141" s="40"/>
      <c r="W141" s="41"/>
      <c r="X141" s="19"/>
      <c r="Y141" s="19"/>
      <c r="Z141" s="42"/>
      <c r="AA141" s="42"/>
      <c r="AB141" s="42"/>
      <c r="AC141" s="17"/>
      <c r="AD141" s="42"/>
      <c r="AE141" s="86"/>
      <c r="AF141" s="2"/>
      <c r="AG141" s="1"/>
      <c r="AH141" s="1"/>
      <c r="AI141" s="5"/>
      <c r="AJ141" s="17"/>
    </row>
    <row r="142" spans="2:36" customFormat="1" ht="27" hidden="1" customHeight="1" x14ac:dyDescent="0.2">
      <c r="B142" s="26"/>
      <c r="C142" s="375"/>
      <c r="D142" s="380"/>
      <c r="E142" s="26"/>
      <c r="F142" s="26"/>
      <c r="G142" s="26"/>
      <c r="H142" s="16"/>
      <c r="I142" s="16"/>
      <c r="J142" s="16"/>
      <c r="K142" s="16"/>
      <c r="L142" s="36"/>
      <c r="M142" s="30"/>
      <c r="N142" s="17"/>
      <c r="O142" s="37"/>
      <c r="P142" s="384"/>
      <c r="Q142" s="385"/>
      <c r="R142" s="38"/>
      <c r="S142" s="39"/>
      <c r="T142" s="39"/>
      <c r="U142" s="39"/>
      <c r="V142" s="40"/>
      <c r="W142" s="41"/>
      <c r="X142" s="19"/>
      <c r="Y142" s="19"/>
      <c r="Z142" s="42"/>
      <c r="AA142" s="42"/>
      <c r="AB142" s="42"/>
      <c r="AC142" s="17"/>
      <c r="AD142" s="42"/>
      <c r="AE142" s="86"/>
      <c r="AF142" s="2"/>
      <c r="AG142" s="76"/>
      <c r="AH142" s="76"/>
      <c r="AI142" s="77"/>
      <c r="AJ142" s="17"/>
    </row>
    <row r="143" spans="2:36" customFormat="1" ht="27" hidden="1" customHeight="1" x14ac:dyDescent="0.2">
      <c r="B143" s="26"/>
      <c r="C143" s="375"/>
      <c r="D143" s="380"/>
      <c r="E143" s="26"/>
      <c r="F143" s="26"/>
      <c r="G143" s="26"/>
      <c r="H143" s="16"/>
      <c r="I143" s="16"/>
      <c r="J143" s="16"/>
      <c r="K143" s="16"/>
      <c r="L143" s="36"/>
      <c r="M143" s="30"/>
      <c r="N143" s="17"/>
      <c r="O143" s="37"/>
      <c r="P143" s="384"/>
      <c r="Q143" s="385"/>
      <c r="R143" s="38"/>
      <c r="S143" s="39"/>
      <c r="T143" s="39"/>
      <c r="U143" s="39"/>
      <c r="V143" s="40"/>
      <c r="W143" s="41"/>
      <c r="X143" s="19"/>
      <c r="Y143" s="19"/>
      <c r="Z143" s="42"/>
      <c r="AA143" s="42"/>
      <c r="AB143" s="42"/>
      <c r="AC143" s="17"/>
      <c r="AD143" s="42"/>
      <c r="AE143" s="86"/>
      <c r="AF143" s="2"/>
      <c r="AG143" s="76"/>
      <c r="AH143" s="76"/>
      <c r="AI143" s="77"/>
      <c r="AJ143" s="17"/>
    </row>
    <row r="144" spans="2:36" customFormat="1" ht="27" hidden="1" customHeight="1" x14ac:dyDescent="0.2">
      <c r="B144" s="26"/>
      <c r="C144" s="375"/>
      <c r="D144" s="380"/>
      <c r="E144" s="26"/>
      <c r="F144" s="26"/>
      <c r="G144" s="26"/>
      <c r="H144" s="16"/>
      <c r="I144" s="16"/>
      <c r="J144" s="16"/>
      <c r="K144" s="16"/>
      <c r="L144" s="36"/>
      <c r="M144" s="30"/>
      <c r="N144" s="17"/>
      <c r="O144" s="37"/>
      <c r="P144" s="384"/>
      <c r="Q144" s="385"/>
      <c r="R144" s="38"/>
      <c r="S144" s="39"/>
      <c r="T144" s="39"/>
      <c r="U144" s="39"/>
      <c r="V144" s="40"/>
      <c r="W144" s="41"/>
      <c r="X144" s="19"/>
      <c r="Y144" s="19"/>
      <c r="Z144" s="42"/>
      <c r="AA144" s="42"/>
      <c r="AB144" s="42"/>
      <c r="AC144" s="17"/>
      <c r="AD144" s="42"/>
      <c r="AE144" s="86"/>
      <c r="AF144" s="2"/>
      <c r="AG144" s="76"/>
      <c r="AH144" s="76"/>
      <c r="AI144" s="77"/>
      <c r="AJ144" s="17"/>
    </row>
    <row r="145" spans="2:36" customFormat="1" ht="27" hidden="1" customHeight="1" x14ac:dyDescent="0.2">
      <c r="B145" s="26"/>
      <c r="C145" s="375"/>
      <c r="D145" s="380"/>
      <c r="E145" s="26"/>
      <c r="F145" s="26"/>
      <c r="G145" s="26"/>
      <c r="H145" s="16"/>
      <c r="I145" s="16"/>
      <c r="J145" s="16"/>
      <c r="K145" s="16"/>
      <c r="L145" s="36"/>
      <c r="M145" s="30"/>
      <c r="N145" s="17"/>
      <c r="O145" s="37"/>
      <c r="P145" s="384"/>
      <c r="Q145" s="385"/>
      <c r="R145" s="38"/>
      <c r="S145" s="39"/>
      <c r="T145" s="39"/>
      <c r="U145" s="39"/>
      <c r="V145" s="40"/>
      <c r="W145" s="41"/>
      <c r="X145" s="19"/>
      <c r="Y145" s="19"/>
      <c r="Z145" s="42"/>
      <c r="AA145" s="42"/>
      <c r="AB145" s="42"/>
      <c r="AC145" s="17"/>
      <c r="AD145" s="42"/>
      <c r="AE145" s="86"/>
      <c r="AF145" s="2"/>
      <c r="AG145" s="76"/>
      <c r="AH145" s="76"/>
      <c r="AI145" s="77"/>
      <c r="AJ145" s="17"/>
    </row>
    <row r="146" spans="2:36" customFormat="1" ht="27" hidden="1" customHeight="1" x14ac:dyDescent="0.2">
      <c r="B146" s="26"/>
      <c r="C146" s="375"/>
      <c r="D146" s="380"/>
      <c r="E146" s="26"/>
      <c r="F146" s="26"/>
      <c r="G146" s="26"/>
      <c r="H146" s="16"/>
      <c r="I146" s="16"/>
      <c r="J146" s="16"/>
      <c r="K146" s="16"/>
      <c r="L146" s="36"/>
      <c r="M146" s="30"/>
      <c r="N146" s="17"/>
      <c r="O146" s="37"/>
      <c r="P146" s="384"/>
      <c r="Q146" s="385"/>
      <c r="R146" s="38"/>
      <c r="S146" s="39"/>
      <c r="T146" s="39"/>
      <c r="U146" s="39"/>
      <c r="V146" s="40"/>
      <c r="W146" s="41"/>
      <c r="X146" s="19"/>
      <c r="Y146" s="19"/>
      <c r="Z146" s="42"/>
      <c r="AA146" s="42"/>
      <c r="AB146" s="42"/>
      <c r="AC146" s="17"/>
      <c r="AD146" s="42"/>
      <c r="AE146" s="86"/>
      <c r="AF146" s="2"/>
      <c r="AG146" s="76"/>
      <c r="AH146" s="76"/>
      <c r="AI146" s="77"/>
      <c r="AJ146" s="17"/>
    </row>
    <row r="147" spans="2:36" customFormat="1" ht="27" hidden="1" customHeight="1" x14ac:dyDescent="0.2">
      <c r="B147" s="26"/>
      <c r="C147" s="375"/>
      <c r="D147" s="380"/>
      <c r="E147" s="26"/>
      <c r="F147" s="26"/>
      <c r="G147" s="26"/>
      <c r="H147" s="16"/>
      <c r="I147" s="16"/>
      <c r="J147" s="16"/>
      <c r="K147" s="16"/>
      <c r="L147" s="36"/>
      <c r="M147" s="30"/>
      <c r="N147" s="17"/>
      <c r="O147" s="37"/>
      <c r="P147" s="384"/>
      <c r="Q147" s="385"/>
      <c r="R147" s="38"/>
      <c r="S147" s="39"/>
      <c r="T147" s="39"/>
      <c r="U147" s="39"/>
      <c r="V147" s="40"/>
      <c r="W147" s="41"/>
      <c r="X147" s="19"/>
      <c r="Y147" s="19"/>
      <c r="Z147" s="42"/>
      <c r="AA147" s="42"/>
      <c r="AB147" s="42"/>
      <c r="AC147" s="17"/>
      <c r="AD147" s="42"/>
      <c r="AE147" s="86"/>
      <c r="AF147" s="2"/>
      <c r="AG147" s="76"/>
      <c r="AH147" s="76"/>
      <c r="AI147" s="77"/>
      <c r="AJ147" s="17"/>
    </row>
    <row r="148" spans="2:36" customFormat="1" ht="27" hidden="1" customHeight="1" x14ac:dyDescent="0.2">
      <c r="B148" s="26"/>
      <c r="C148" s="375"/>
      <c r="D148" s="380"/>
      <c r="E148" s="26"/>
      <c r="F148" s="26"/>
      <c r="G148" s="26"/>
      <c r="H148" s="16"/>
      <c r="I148" s="16"/>
      <c r="J148" s="16"/>
      <c r="K148" s="16"/>
      <c r="L148" s="36"/>
      <c r="M148" s="30"/>
      <c r="N148" s="17"/>
      <c r="O148" s="37"/>
      <c r="P148" s="384"/>
      <c r="Q148" s="385"/>
      <c r="R148" s="38"/>
      <c r="S148" s="39"/>
      <c r="T148" s="39"/>
      <c r="U148" s="39"/>
      <c r="V148" s="40"/>
      <c r="W148" s="41"/>
      <c r="X148" s="19"/>
      <c r="Y148" s="19"/>
      <c r="Z148" s="42"/>
      <c r="AA148" s="42"/>
      <c r="AB148" s="42"/>
      <c r="AC148" s="17"/>
      <c r="AD148" s="42"/>
      <c r="AE148" s="86"/>
      <c r="AF148" s="2"/>
      <c r="AG148" s="76"/>
      <c r="AH148" s="76"/>
      <c r="AI148" s="77"/>
      <c r="AJ148" s="17"/>
    </row>
    <row r="149" spans="2:36" customFormat="1" ht="27" hidden="1" customHeight="1" x14ac:dyDescent="0.2">
      <c r="B149" s="26"/>
      <c r="C149" s="375"/>
      <c r="D149" s="380"/>
      <c r="E149" s="26"/>
      <c r="F149" s="26"/>
      <c r="G149" s="26"/>
      <c r="H149" s="16"/>
      <c r="I149" s="16"/>
      <c r="J149" s="16"/>
      <c r="K149" s="16"/>
      <c r="L149" s="36"/>
      <c r="M149" s="30"/>
      <c r="N149" s="17"/>
      <c r="O149" s="37"/>
      <c r="P149" s="384"/>
      <c r="Q149" s="385"/>
      <c r="R149" s="38"/>
      <c r="S149" s="39"/>
      <c r="T149" s="39"/>
      <c r="U149" s="39"/>
      <c r="V149" s="40"/>
      <c r="W149" s="41"/>
      <c r="X149" s="19"/>
      <c r="Y149" s="19"/>
      <c r="Z149" s="42"/>
      <c r="AA149" s="42"/>
      <c r="AB149" s="42"/>
      <c r="AC149" s="17"/>
      <c r="AD149" s="42"/>
      <c r="AE149" s="86"/>
      <c r="AF149" s="2"/>
      <c r="AG149" s="76"/>
      <c r="AH149" s="76"/>
      <c r="AI149" s="77"/>
      <c r="AJ149" s="17"/>
    </row>
    <row r="150" spans="2:36" customFormat="1" ht="27" hidden="1" customHeight="1" x14ac:dyDescent="0.2">
      <c r="B150" s="26"/>
      <c r="C150" s="375"/>
      <c r="D150" s="380"/>
      <c r="E150" s="26"/>
      <c r="F150" s="26"/>
      <c r="G150" s="26"/>
      <c r="H150" s="16"/>
      <c r="I150" s="16"/>
      <c r="J150" s="16"/>
      <c r="K150" s="16"/>
      <c r="L150" s="36"/>
      <c r="M150" s="30"/>
      <c r="N150" s="17"/>
      <c r="O150" s="37"/>
      <c r="P150" s="384"/>
      <c r="Q150" s="385"/>
      <c r="R150" s="38"/>
      <c r="S150" s="39"/>
      <c r="T150" s="39"/>
      <c r="U150" s="39"/>
      <c r="V150" s="40"/>
      <c r="W150" s="41"/>
      <c r="X150" s="19"/>
      <c r="Y150" s="19"/>
      <c r="Z150" s="42"/>
      <c r="AA150" s="42"/>
      <c r="AB150" s="42"/>
      <c r="AC150" s="17"/>
      <c r="AD150" s="42"/>
      <c r="AE150" s="86"/>
      <c r="AF150" s="2"/>
      <c r="AG150" s="76"/>
      <c r="AH150" s="76"/>
      <c r="AI150" s="77"/>
      <c r="AJ150" s="17"/>
    </row>
    <row r="151" spans="2:36" customFormat="1" ht="27" hidden="1" customHeight="1" x14ac:dyDescent="0.2">
      <c r="B151" s="26"/>
      <c r="C151" s="375"/>
      <c r="D151" s="380"/>
      <c r="E151" s="26"/>
      <c r="F151" s="26"/>
      <c r="G151" s="26"/>
      <c r="H151" s="16"/>
      <c r="I151" s="16"/>
      <c r="J151" s="16"/>
      <c r="K151" s="16"/>
      <c r="L151" s="36"/>
      <c r="M151" s="30"/>
      <c r="N151" s="17"/>
      <c r="O151" s="37"/>
      <c r="P151" s="384"/>
      <c r="Q151" s="385"/>
      <c r="R151" s="38"/>
      <c r="S151" s="39"/>
      <c r="T151" s="39"/>
      <c r="U151" s="39"/>
      <c r="V151" s="40"/>
      <c r="W151" s="41"/>
      <c r="X151" s="19"/>
      <c r="Y151" s="19"/>
      <c r="Z151" s="42"/>
      <c r="AA151" s="42"/>
      <c r="AB151" s="42"/>
      <c r="AC151" s="17"/>
      <c r="AD151" s="42"/>
      <c r="AE151" s="86"/>
      <c r="AF151" s="2"/>
      <c r="AG151" s="76"/>
      <c r="AH151" s="76"/>
      <c r="AI151" s="77"/>
      <c r="AJ151" s="17"/>
    </row>
    <row r="152" spans="2:36" customFormat="1" ht="27" hidden="1" customHeight="1" x14ac:dyDescent="0.2">
      <c r="B152" s="26"/>
      <c r="C152" s="375"/>
      <c r="D152" s="380"/>
      <c r="E152" s="26"/>
      <c r="F152" s="26"/>
      <c r="G152" s="26"/>
      <c r="H152" s="16"/>
      <c r="I152" s="16"/>
      <c r="J152" s="16"/>
      <c r="K152" s="16"/>
      <c r="L152" s="36"/>
      <c r="M152" s="30"/>
      <c r="N152" s="17"/>
      <c r="O152" s="37"/>
      <c r="P152" s="384"/>
      <c r="Q152" s="385"/>
      <c r="R152" s="38"/>
      <c r="S152" s="39"/>
      <c r="T152" s="39"/>
      <c r="U152" s="39"/>
      <c r="V152" s="40"/>
      <c r="W152" s="41"/>
      <c r="X152" s="19"/>
      <c r="Y152" s="19"/>
      <c r="Z152" s="42"/>
      <c r="AA152" s="42"/>
      <c r="AB152" s="42"/>
      <c r="AC152" s="17"/>
      <c r="AD152" s="42"/>
      <c r="AE152" s="86"/>
      <c r="AF152" s="2"/>
      <c r="AG152" s="76"/>
      <c r="AH152" s="76"/>
      <c r="AI152" s="77"/>
      <c r="AJ152" s="17"/>
    </row>
    <row r="153" spans="2:36" customFormat="1" ht="27" hidden="1" customHeight="1" x14ac:dyDescent="0.2">
      <c r="B153" s="26"/>
      <c r="C153" s="375"/>
      <c r="D153" s="380"/>
      <c r="E153" s="26"/>
      <c r="F153" s="26"/>
      <c r="G153" s="26"/>
      <c r="H153" s="16"/>
      <c r="I153" s="16"/>
      <c r="J153" s="16"/>
      <c r="K153" s="16"/>
      <c r="L153" s="36"/>
      <c r="M153" s="30"/>
      <c r="N153" s="17"/>
      <c r="O153" s="37"/>
      <c r="P153" s="384"/>
      <c r="Q153" s="385"/>
      <c r="R153" s="38"/>
      <c r="S153" s="39"/>
      <c r="T153" s="39"/>
      <c r="U153" s="39"/>
      <c r="V153" s="40"/>
      <c r="W153" s="41"/>
      <c r="X153" s="19"/>
      <c r="Y153" s="19"/>
      <c r="Z153" s="42"/>
      <c r="AA153" s="42"/>
      <c r="AB153" s="42"/>
      <c r="AC153" s="17"/>
      <c r="AD153" s="42"/>
      <c r="AE153" s="86"/>
      <c r="AF153" s="2"/>
      <c r="AG153" s="1"/>
      <c r="AH153" s="1"/>
      <c r="AI153" s="5"/>
      <c r="AJ153" s="17"/>
    </row>
    <row r="154" spans="2:36" customFormat="1" ht="29" hidden="1" customHeight="1" x14ac:dyDescent="0.2">
      <c r="B154" s="26"/>
      <c r="C154" s="375"/>
      <c r="D154" s="380"/>
      <c r="E154" s="26"/>
      <c r="F154" s="26"/>
      <c r="G154" s="26"/>
      <c r="H154" s="26"/>
      <c r="I154" s="16"/>
      <c r="J154" s="16"/>
      <c r="K154" s="16"/>
      <c r="L154" s="36"/>
      <c r="M154" s="30"/>
      <c r="N154" s="17"/>
      <c r="O154" s="37"/>
      <c r="P154" s="384"/>
      <c r="Q154" s="385"/>
      <c r="R154" s="38"/>
      <c r="S154" s="39"/>
      <c r="T154" s="39"/>
      <c r="U154" s="39"/>
      <c r="V154" s="40"/>
      <c r="W154" s="41"/>
      <c r="X154" s="19"/>
      <c r="Y154" s="19"/>
      <c r="Z154" s="42"/>
      <c r="AA154" s="42"/>
      <c r="AB154" s="42"/>
      <c r="AC154" s="45"/>
      <c r="AD154" s="42"/>
      <c r="AE154" s="60"/>
      <c r="AF154" s="16"/>
      <c r="AG154" s="31"/>
      <c r="AH154" s="31"/>
      <c r="AI154" s="18"/>
      <c r="AJ154" s="45"/>
    </row>
    <row r="155" spans="2:36" customFormat="1" ht="29" hidden="1" customHeight="1" x14ac:dyDescent="0.2">
      <c r="B155" s="26"/>
      <c r="C155" s="375"/>
      <c r="D155" s="380"/>
      <c r="E155" s="26"/>
      <c r="F155" s="26"/>
      <c r="G155" s="26"/>
      <c r="H155" s="26"/>
      <c r="I155" s="16"/>
      <c r="J155" s="16"/>
      <c r="K155" s="16"/>
      <c r="L155" s="36"/>
      <c r="M155" s="30"/>
      <c r="N155" s="17"/>
      <c r="O155" s="37"/>
      <c r="P155" s="384"/>
      <c r="Q155" s="385"/>
      <c r="R155" s="38"/>
      <c r="S155" s="39"/>
      <c r="T155" s="39"/>
      <c r="U155" s="39"/>
      <c r="V155" s="40"/>
      <c r="W155" s="41"/>
      <c r="X155" s="19"/>
      <c r="Y155" s="19"/>
      <c r="Z155" s="42"/>
      <c r="AA155" s="42"/>
      <c r="AB155" s="42"/>
      <c r="AC155" s="45"/>
      <c r="AD155" s="42"/>
      <c r="AE155" s="60"/>
      <c r="AF155" s="16"/>
      <c r="AG155" s="31"/>
      <c r="AH155" s="31"/>
      <c r="AI155" s="18"/>
      <c r="AJ155" s="45"/>
    </row>
    <row r="156" spans="2:36" customFormat="1" ht="29" hidden="1" customHeight="1" x14ac:dyDescent="0.2">
      <c r="B156" s="26"/>
      <c r="C156" s="375"/>
      <c r="D156" s="380"/>
      <c r="E156" s="26"/>
      <c r="F156" s="26"/>
      <c r="G156" s="26"/>
      <c r="H156" s="26"/>
      <c r="I156" s="16"/>
      <c r="J156" s="16"/>
      <c r="K156" s="16"/>
      <c r="L156" s="36"/>
      <c r="M156" s="30"/>
      <c r="N156" s="17"/>
      <c r="O156" s="37"/>
      <c r="P156" s="384"/>
      <c r="Q156" s="385"/>
      <c r="R156" s="38"/>
      <c r="S156" s="39"/>
      <c r="T156" s="39"/>
      <c r="U156" s="39"/>
      <c r="V156" s="40"/>
      <c r="W156" s="41"/>
      <c r="X156" s="19"/>
      <c r="Y156" s="19"/>
      <c r="Z156" s="42"/>
      <c r="AA156" s="42"/>
      <c r="AB156" s="42"/>
      <c r="AC156" s="45"/>
      <c r="AD156" s="42"/>
      <c r="AE156" s="60"/>
      <c r="AF156" s="16"/>
      <c r="AG156" s="31"/>
      <c r="AH156" s="31"/>
      <c r="AI156" s="18"/>
      <c r="AJ156" s="45"/>
    </row>
    <row r="157" spans="2:36" customFormat="1" ht="29" hidden="1" customHeight="1" x14ac:dyDescent="0.2">
      <c r="B157" s="26"/>
      <c r="C157" s="375"/>
      <c r="D157" s="380"/>
      <c r="E157" s="26"/>
      <c r="F157" s="26"/>
      <c r="G157" s="26"/>
      <c r="H157" s="26"/>
      <c r="I157" s="16"/>
      <c r="J157" s="16"/>
      <c r="K157" s="16"/>
      <c r="L157" s="36"/>
      <c r="M157" s="30"/>
      <c r="N157" s="17"/>
      <c r="O157" s="37"/>
      <c r="P157" s="384"/>
      <c r="Q157" s="385"/>
      <c r="R157" s="38"/>
      <c r="S157" s="39"/>
      <c r="T157" s="39"/>
      <c r="U157" s="39"/>
      <c r="V157" s="40"/>
      <c r="W157" s="41"/>
      <c r="X157" s="19"/>
      <c r="Y157" s="19"/>
      <c r="Z157" s="42"/>
      <c r="AA157" s="42"/>
      <c r="AB157" s="42"/>
      <c r="AC157" s="45"/>
      <c r="AD157" s="42"/>
      <c r="AE157" s="60"/>
      <c r="AF157" s="16"/>
      <c r="AG157" s="31"/>
      <c r="AH157" s="31"/>
      <c r="AI157" s="18"/>
      <c r="AJ157" s="45"/>
    </row>
    <row r="158" spans="2:36" customFormat="1" ht="29" hidden="1" customHeight="1" x14ac:dyDescent="0.2">
      <c r="B158" s="26"/>
      <c r="C158" s="375"/>
      <c r="D158" s="380"/>
      <c r="E158" s="26"/>
      <c r="F158" s="26"/>
      <c r="G158" s="26"/>
      <c r="H158" s="26"/>
      <c r="I158" s="16"/>
      <c r="J158" s="16"/>
      <c r="K158" s="16"/>
      <c r="L158" s="36"/>
      <c r="M158" s="30"/>
      <c r="N158" s="17"/>
      <c r="O158" s="37"/>
      <c r="P158" s="384"/>
      <c r="Q158" s="385"/>
      <c r="R158" s="38"/>
      <c r="S158" s="39"/>
      <c r="T158" s="39"/>
      <c r="U158" s="39"/>
      <c r="V158" s="40"/>
      <c r="W158" s="41"/>
      <c r="X158" s="19"/>
      <c r="Y158" s="19"/>
      <c r="Z158" s="42"/>
      <c r="AA158" s="42"/>
      <c r="AB158" s="42"/>
      <c r="AC158" s="45"/>
      <c r="AD158" s="42"/>
      <c r="AE158" s="60"/>
      <c r="AF158" s="16"/>
      <c r="AG158" s="31"/>
      <c r="AH158" s="31"/>
      <c r="AI158" s="18"/>
      <c r="AJ158" s="45"/>
    </row>
    <row r="159" spans="2:36" customFormat="1" ht="29" hidden="1" customHeight="1" x14ac:dyDescent="0.2">
      <c r="B159" s="26"/>
      <c r="C159" s="375"/>
      <c r="D159" s="380"/>
      <c r="E159" s="26"/>
      <c r="F159" s="26"/>
      <c r="G159" s="26"/>
      <c r="H159" s="26"/>
      <c r="I159" s="16"/>
      <c r="J159" s="16"/>
      <c r="K159" s="16"/>
      <c r="L159" s="36"/>
      <c r="M159" s="30"/>
      <c r="N159" s="17"/>
      <c r="O159" s="37"/>
      <c r="P159" s="384"/>
      <c r="Q159" s="385"/>
      <c r="R159" s="38"/>
      <c r="S159" s="39"/>
      <c r="T159" s="39"/>
      <c r="U159" s="39"/>
      <c r="V159" s="40"/>
      <c r="W159" s="41"/>
      <c r="X159" s="19"/>
      <c r="Y159" s="19"/>
      <c r="Z159" s="42"/>
      <c r="AA159" s="42"/>
      <c r="AB159" s="42"/>
      <c r="AC159" s="45"/>
      <c r="AD159" s="42"/>
      <c r="AE159" s="60"/>
      <c r="AF159" s="16"/>
      <c r="AG159" s="31"/>
      <c r="AH159" s="31"/>
      <c r="AI159" s="18"/>
      <c r="AJ159" s="45"/>
    </row>
    <row r="160" spans="2:36" customFormat="1" ht="29" hidden="1" customHeight="1" x14ac:dyDescent="0.2">
      <c r="B160" s="26"/>
      <c r="C160" s="375"/>
      <c r="D160" s="380"/>
      <c r="E160" s="26"/>
      <c r="F160" s="26"/>
      <c r="G160" s="26"/>
      <c r="H160" s="26"/>
      <c r="I160" s="16"/>
      <c r="J160" s="16"/>
      <c r="K160" s="16"/>
      <c r="L160" s="36"/>
      <c r="M160" s="30"/>
      <c r="N160" s="17"/>
      <c r="O160" s="37"/>
      <c r="P160" s="384"/>
      <c r="Q160" s="385"/>
      <c r="R160" s="38"/>
      <c r="S160" s="39"/>
      <c r="T160" s="39"/>
      <c r="U160" s="39"/>
      <c r="V160" s="40"/>
      <c r="W160" s="41"/>
      <c r="X160" s="19"/>
      <c r="Y160" s="19"/>
      <c r="Z160" s="42"/>
      <c r="AA160" s="42"/>
      <c r="AB160" s="42"/>
      <c r="AC160" s="45"/>
      <c r="AD160" s="42"/>
      <c r="AE160" s="60"/>
      <c r="AF160" s="16"/>
      <c r="AG160" s="31"/>
      <c r="AH160" s="31"/>
      <c r="AI160" s="18"/>
      <c r="AJ160" s="45"/>
    </row>
    <row r="161" spans="2:36" customFormat="1" ht="29" hidden="1" customHeight="1" x14ac:dyDescent="0.2">
      <c r="B161" s="26"/>
      <c r="C161" s="375"/>
      <c r="D161" s="380"/>
      <c r="E161" s="26"/>
      <c r="F161" s="26"/>
      <c r="G161" s="26"/>
      <c r="H161" s="26"/>
      <c r="I161" s="16"/>
      <c r="J161" s="16"/>
      <c r="K161" s="16"/>
      <c r="L161" s="36"/>
      <c r="M161" s="30"/>
      <c r="N161" s="17"/>
      <c r="O161" s="37"/>
      <c r="P161" s="384"/>
      <c r="Q161" s="385"/>
      <c r="R161" s="38"/>
      <c r="S161" s="39"/>
      <c r="T161" s="39"/>
      <c r="U161" s="39"/>
      <c r="V161" s="40"/>
      <c r="W161" s="41"/>
      <c r="X161" s="19"/>
      <c r="Y161" s="19"/>
      <c r="Z161" s="42"/>
      <c r="AA161" s="42"/>
      <c r="AB161" s="42"/>
      <c r="AC161" s="45"/>
      <c r="AD161" s="42"/>
      <c r="AE161" s="60"/>
      <c r="AF161" s="16"/>
      <c r="AG161" s="31"/>
      <c r="AH161" s="31"/>
      <c r="AI161" s="18"/>
      <c r="AJ161" s="45"/>
    </row>
    <row r="162" spans="2:36" customFormat="1" ht="29" hidden="1" customHeight="1" x14ac:dyDescent="0.2">
      <c r="B162" s="26"/>
      <c r="C162" s="375"/>
      <c r="D162" s="380"/>
      <c r="E162" s="26"/>
      <c r="F162" s="26"/>
      <c r="G162" s="26"/>
      <c r="H162" s="26"/>
      <c r="I162" s="16"/>
      <c r="J162" s="16"/>
      <c r="K162" s="16"/>
      <c r="L162" s="36"/>
      <c r="M162" s="30"/>
      <c r="N162" s="17"/>
      <c r="O162" s="37"/>
      <c r="P162" s="384"/>
      <c r="Q162" s="385"/>
      <c r="R162" s="38"/>
      <c r="S162" s="39"/>
      <c r="T162" s="39"/>
      <c r="U162" s="39"/>
      <c r="V162" s="40"/>
      <c r="W162" s="41"/>
      <c r="X162" s="19"/>
      <c r="Y162" s="19"/>
      <c r="Z162" s="42"/>
      <c r="AA162" s="42"/>
      <c r="AB162" s="42"/>
      <c r="AC162" s="45"/>
      <c r="AD162" s="42"/>
      <c r="AE162" s="60"/>
      <c r="AF162" s="16"/>
      <c r="AG162" s="31"/>
      <c r="AH162" s="31"/>
      <c r="AI162" s="18"/>
      <c r="AJ162" s="45"/>
    </row>
    <row r="163" spans="2:36" ht="40" customHeight="1" x14ac:dyDescent="0.2">
      <c r="O163" s="81"/>
      <c r="P163" s="386"/>
      <c r="Q163" s="386"/>
      <c r="R163" s="82"/>
      <c r="S163" s="83" t="s">
        <v>44</v>
      </c>
      <c r="T163" s="285"/>
      <c r="U163" s="285"/>
      <c r="V163" s="87"/>
      <c r="W163" s="87"/>
      <c r="X163" s="87"/>
      <c r="Y163" s="87"/>
      <c r="Z163" s="87"/>
      <c r="AA163" s="87"/>
      <c r="AB163" s="87"/>
      <c r="AC163" s="87"/>
      <c r="AD163" s="87"/>
      <c r="AE163" s="88">
        <f>SUM(AE120:AE162)</f>
        <v>0</v>
      </c>
      <c r="AF163" s="61"/>
      <c r="AJ163" s="87"/>
    </row>
    <row r="164" spans="2:36" ht="24" customHeight="1" x14ac:dyDescent="0.2"/>
  </sheetData>
  <mergeCells count="18">
    <mergeCell ref="AE62:AJ62"/>
    <mergeCell ref="C54:AC54"/>
    <mergeCell ref="C55:AC55"/>
    <mergeCell ref="AE63:AJ63"/>
    <mergeCell ref="AE65:AK65"/>
    <mergeCell ref="O65:S65"/>
    <mergeCell ref="O64:S64"/>
    <mergeCell ref="AE64:AJ64"/>
    <mergeCell ref="C32:D32"/>
    <mergeCell ref="C56:AC56"/>
    <mergeCell ref="O60:T60"/>
    <mergeCell ref="O59:T59"/>
    <mergeCell ref="O63:S63"/>
    <mergeCell ref="AE114:AJ114"/>
    <mergeCell ref="O115:S115"/>
    <mergeCell ref="AE115:AJ115"/>
    <mergeCell ref="C72:D72"/>
    <mergeCell ref="C113:AC113"/>
  </mergeCells>
  <phoneticPr fontId="10" type="noConversion"/>
  <conditionalFormatting sqref="O2">
    <cfRule type="expression" dxfId="22" priority="129">
      <formula>$N$2=$O$2</formula>
    </cfRule>
  </conditionalFormatting>
  <conditionalFormatting sqref="Y6:Y27 Y120:Y162">
    <cfRule type="cellIs" dxfId="21" priority="386" operator="lessThan">
      <formula>0</formula>
    </cfRule>
    <cfRule type="cellIs" dxfId="20" priority="387" operator="greaterThan">
      <formula>0</formula>
    </cfRule>
  </conditionalFormatting>
  <conditionalFormatting sqref="Y33:Y53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Y73:Y11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paperSize="9" scale="43" orientation="landscape" horizontalDpi="0" verticalDpi="0" copies="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66CB-FB19-E14D-9B50-FDAE551B3A97}">
  <sheetPr>
    <pageSetUpPr fitToPage="1"/>
  </sheetPr>
  <dimension ref="A2:AJ120"/>
  <sheetViews>
    <sheetView topLeftCell="A67" workbookViewId="0">
      <selection activeCell="L126" sqref="L126"/>
    </sheetView>
  </sheetViews>
  <sheetFormatPr baseColWidth="10" defaultRowHeight="16" x14ac:dyDescent="0.2"/>
  <cols>
    <col min="1" max="1" width="10.83203125" style="406" customWidth="1"/>
    <col min="2" max="2" width="10.83203125" style="406" hidden="1" customWidth="1"/>
    <col min="3" max="3" width="6.6640625" style="406" customWidth="1"/>
    <col min="4" max="4" width="4.33203125" style="407" customWidth="1"/>
    <col min="5" max="5" width="19.33203125" style="406" customWidth="1"/>
    <col min="6" max="6" width="12.33203125" style="406" hidden="1" customWidth="1"/>
    <col min="7" max="7" width="16.5" style="406" customWidth="1"/>
    <col min="8" max="11" width="8.1640625" style="406" customWidth="1"/>
    <col min="12" max="12" width="10.1640625" style="406" customWidth="1"/>
    <col min="13" max="13" width="14.83203125" style="406" hidden="1" customWidth="1"/>
    <col min="14" max="14" width="41.5" style="406" customWidth="1"/>
    <col min="15" max="15" width="51.33203125" style="406" customWidth="1"/>
    <col min="16" max="16" width="40.6640625" style="406" customWidth="1"/>
    <col min="17" max="17" width="35.6640625" style="406" customWidth="1"/>
    <col min="18" max="19" width="15.83203125" style="406" customWidth="1"/>
    <col min="20" max="21" width="19.6640625" style="406" hidden="1" customWidth="1"/>
    <col min="22" max="22" width="16.1640625" style="406" customWidth="1"/>
    <col min="23" max="23" width="14.6640625" style="406" hidden="1" customWidth="1"/>
    <col min="24" max="25" width="17" style="406" hidden="1" customWidth="1"/>
    <col min="26" max="26" width="18" style="406" customWidth="1"/>
    <col min="27" max="27" width="14.6640625" style="406" hidden="1" customWidth="1"/>
    <col min="28" max="28" width="16" style="406" hidden="1" customWidth="1"/>
    <col min="29" max="29" width="28.6640625" style="406" hidden="1" customWidth="1"/>
    <col min="30" max="32" width="0" style="406" hidden="1" customWidth="1"/>
    <col min="33" max="34" width="19.5" style="406" hidden="1" customWidth="1"/>
    <col min="35" max="35" width="28" style="406" hidden="1" customWidth="1"/>
    <col min="36" max="16384" width="10.83203125" style="406"/>
  </cols>
  <sheetData>
    <row r="2" spans="1:35" ht="36" customHeight="1" x14ac:dyDescent="0.2">
      <c r="B2" s="1021" t="s">
        <v>528</v>
      </c>
      <c r="C2" s="1021"/>
      <c r="D2" s="1021"/>
      <c r="E2" s="1021"/>
      <c r="F2" s="1021"/>
      <c r="G2" s="1021"/>
      <c r="H2" s="1021"/>
      <c r="I2" s="1021"/>
      <c r="J2" s="1021"/>
      <c r="K2" s="1021"/>
    </row>
    <row r="4" spans="1:35" ht="68" customHeight="1" x14ac:dyDescent="0.2">
      <c r="A4" s="408"/>
      <c r="B4" s="409" t="s">
        <v>396</v>
      </c>
      <c r="C4" s="1022" t="s">
        <v>394</v>
      </c>
      <c r="D4" s="1023"/>
      <c r="E4" s="485" t="s">
        <v>154</v>
      </c>
      <c r="F4" s="485" t="s">
        <v>142</v>
      </c>
      <c r="G4" s="485" t="s">
        <v>146</v>
      </c>
      <c r="H4" s="486" t="s">
        <v>400</v>
      </c>
      <c r="I4" s="486" t="s">
        <v>398</v>
      </c>
      <c r="J4" s="486" t="s">
        <v>405</v>
      </c>
      <c r="K4" s="486" t="s">
        <v>399</v>
      </c>
      <c r="L4" s="487" t="s">
        <v>401</v>
      </c>
      <c r="M4" s="488" t="s">
        <v>106</v>
      </c>
      <c r="N4" s="486" t="s">
        <v>3</v>
      </c>
      <c r="O4" s="485" t="s">
        <v>4</v>
      </c>
      <c r="P4" s="485" t="s">
        <v>100</v>
      </c>
      <c r="Q4" s="485" t="s">
        <v>5</v>
      </c>
      <c r="R4" s="493" t="s">
        <v>409</v>
      </c>
      <c r="S4" s="489" t="s">
        <v>410</v>
      </c>
      <c r="T4" s="489" t="s">
        <v>157</v>
      </c>
      <c r="U4" s="489" t="s">
        <v>158</v>
      </c>
      <c r="V4" s="490" t="s">
        <v>406</v>
      </c>
      <c r="W4" s="491" t="s">
        <v>8</v>
      </c>
      <c r="X4" s="489" t="s">
        <v>108</v>
      </c>
      <c r="Y4" s="489" t="s">
        <v>109</v>
      </c>
      <c r="Z4" s="491" t="s">
        <v>407</v>
      </c>
      <c r="AA4" s="486" t="s">
        <v>408</v>
      </c>
      <c r="AB4" s="486" t="s">
        <v>155</v>
      </c>
      <c r="AC4" s="486" t="s">
        <v>411</v>
      </c>
      <c r="AD4" s="486" t="s">
        <v>112</v>
      </c>
      <c r="AE4" s="489" t="s">
        <v>107</v>
      </c>
      <c r="AF4" s="492" t="s">
        <v>149</v>
      </c>
      <c r="AG4" s="492" t="s">
        <v>16</v>
      </c>
      <c r="AH4" s="492" t="s">
        <v>151</v>
      </c>
      <c r="AI4" s="492" t="s">
        <v>150</v>
      </c>
    </row>
    <row r="5" spans="1:35" s="533" customFormat="1" ht="33" customHeight="1" x14ac:dyDescent="0.25">
      <c r="A5" s="316"/>
      <c r="B5" s="371"/>
      <c r="C5" s="494" t="s">
        <v>431</v>
      </c>
      <c r="D5" s="495" t="s">
        <v>191</v>
      </c>
      <c r="E5" s="413" t="s">
        <v>143</v>
      </c>
      <c r="F5" s="372" t="s">
        <v>144</v>
      </c>
      <c r="G5" s="494" t="s">
        <v>24</v>
      </c>
      <c r="H5" s="414"/>
      <c r="I5" s="413"/>
      <c r="J5" s="414"/>
      <c r="K5" s="414"/>
      <c r="L5" s="416">
        <v>45422</v>
      </c>
      <c r="M5" s="415">
        <v>45422</v>
      </c>
      <c r="N5" s="434" t="s">
        <v>23</v>
      </c>
      <c r="O5" s="435" t="s">
        <v>140</v>
      </c>
      <c r="P5" s="435" t="s">
        <v>119</v>
      </c>
      <c r="Q5" s="548" t="s">
        <v>121</v>
      </c>
      <c r="R5" s="549"/>
      <c r="S5" s="561">
        <v>2000</v>
      </c>
      <c r="T5" s="421">
        <v>2000</v>
      </c>
      <c r="U5" s="565">
        <v>0</v>
      </c>
      <c r="V5" s="422">
        <v>45422</v>
      </c>
      <c r="W5" s="479">
        <v>45422</v>
      </c>
      <c r="X5" s="437">
        <v>2000</v>
      </c>
      <c r="Y5" s="437">
        <v>0</v>
      </c>
      <c r="Z5" s="426" t="s">
        <v>12</v>
      </c>
      <c r="AA5" s="568" t="s">
        <v>24</v>
      </c>
      <c r="AB5" s="426" t="s">
        <v>382</v>
      </c>
      <c r="AC5" s="423"/>
      <c r="AD5" s="424"/>
      <c r="AE5" s="425">
        <v>0</v>
      </c>
      <c r="AF5" s="426"/>
      <c r="AG5" s="429">
        <v>0</v>
      </c>
      <c r="AH5" s="429">
        <v>2000</v>
      </c>
      <c r="AI5" s="415" t="s">
        <v>23</v>
      </c>
    </row>
    <row r="6" spans="1:35" s="172" customFormat="1" ht="33" customHeight="1" x14ac:dyDescent="0.25">
      <c r="A6" s="316"/>
      <c r="B6" s="371"/>
      <c r="C6" s="494" t="s">
        <v>431</v>
      </c>
      <c r="D6" s="495" t="s">
        <v>192</v>
      </c>
      <c r="E6" s="413" t="s">
        <v>143</v>
      </c>
      <c r="F6" s="372" t="s">
        <v>144</v>
      </c>
      <c r="G6" s="494" t="s">
        <v>24</v>
      </c>
      <c r="H6" s="414"/>
      <c r="I6" s="413"/>
      <c r="J6" s="414"/>
      <c r="K6" s="414"/>
      <c r="L6" s="416">
        <v>45422</v>
      </c>
      <c r="M6" s="415">
        <v>45422</v>
      </c>
      <c r="N6" s="434" t="s">
        <v>23</v>
      </c>
      <c r="O6" s="435" t="s">
        <v>140</v>
      </c>
      <c r="P6" s="435" t="s">
        <v>119</v>
      </c>
      <c r="Q6" s="548" t="s">
        <v>121</v>
      </c>
      <c r="R6" s="550"/>
      <c r="S6" s="561">
        <v>1000</v>
      </c>
      <c r="T6" s="437">
        <v>1000</v>
      </c>
      <c r="U6" s="561">
        <v>0</v>
      </c>
      <c r="V6" s="422">
        <v>45422</v>
      </c>
      <c r="W6" s="417">
        <v>45422</v>
      </c>
      <c r="X6" s="437">
        <v>1000</v>
      </c>
      <c r="Y6" s="437">
        <v>0</v>
      </c>
      <c r="Z6" s="424" t="s">
        <v>12</v>
      </c>
      <c r="AA6" s="568" t="s">
        <v>24</v>
      </c>
      <c r="AB6" s="426" t="s">
        <v>382</v>
      </c>
      <c r="AC6" s="423"/>
      <c r="AD6" s="424"/>
      <c r="AE6" s="425">
        <v>0</v>
      </c>
      <c r="AF6" s="426"/>
      <c r="AG6" s="429">
        <v>0</v>
      </c>
      <c r="AH6" s="429">
        <v>1000</v>
      </c>
      <c r="AI6" s="415" t="s">
        <v>23</v>
      </c>
    </row>
    <row r="7" spans="1:35" s="172" customFormat="1" ht="33" customHeight="1" x14ac:dyDescent="0.25">
      <c r="A7" s="316"/>
      <c r="B7" s="371"/>
      <c r="C7" s="494" t="s">
        <v>431</v>
      </c>
      <c r="D7" s="495" t="s">
        <v>193</v>
      </c>
      <c r="E7" s="413" t="s">
        <v>143</v>
      </c>
      <c r="F7" s="372" t="s">
        <v>144</v>
      </c>
      <c r="G7" s="494" t="s">
        <v>24</v>
      </c>
      <c r="H7" s="414"/>
      <c r="I7" s="413"/>
      <c r="J7" s="414"/>
      <c r="K7" s="414"/>
      <c r="L7" s="416">
        <v>45426</v>
      </c>
      <c r="M7" s="415">
        <v>45426</v>
      </c>
      <c r="N7" s="434" t="s">
        <v>23</v>
      </c>
      <c r="O7" s="435" t="s">
        <v>140</v>
      </c>
      <c r="P7" s="435" t="s">
        <v>119</v>
      </c>
      <c r="Q7" s="548" t="s">
        <v>121</v>
      </c>
      <c r="R7" s="550"/>
      <c r="S7" s="561">
        <v>100</v>
      </c>
      <c r="T7" s="437">
        <v>100</v>
      </c>
      <c r="U7" s="561">
        <v>0</v>
      </c>
      <c r="V7" s="441">
        <v>45426</v>
      </c>
      <c r="W7" s="417">
        <v>45426</v>
      </c>
      <c r="X7" s="437">
        <v>100</v>
      </c>
      <c r="Y7" s="437">
        <v>0</v>
      </c>
      <c r="Z7" s="424" t="s">
        <v>12</v>
      </c>
      <c r="AA7" s="568" t="s">
        <v>24</v>
      </c>
      <c r="AB7" s="426" t="s">
        <v>382</v>
      </c>
      <c r="AC7" s="423"/>
      <c r="AD7" s="424"/>
      <c r="AE7" s="425">
        <v>0</v>
      </c>
      <c r="AF7" s="426"/>
      <c r="AG7" s="429">
        <v>0</v>
      </c>
      <c r="AH7" s="429">
        <v>100</v>
      </c>
      <c r="AI7" s="415" t="s">
        <v>23</v>
      </c>
    </row>
    <row r="8" spans="1:35" s="172" customFormat="1" ht="33" customHeight="1" x14ac:dyDescent="0.25">
      <c r="A8" s="316"/>
      <c r="B8" s="371"/>
      <c r="C8" s="494" t="s">
        <v>431</v>
      </c>
      <c r="D8" s="495" t="s">
        <v>197</v>
      </c>
      <c r="E8" s="413" t="s">
        <v>143</v>
      </c>
      <c r="F8" s="372" t="s">
        <v>144</v>
      </c>
      <c r="G8" s="494" t="s">
        <v>24</v>
      </c>
      <c r="H8" s="414"/>
      <c r="I8" s="413"/>
      <c r="J8" s="414"/>
      <c r="K8" s="414"/>
      <c r="L8" s="416">
        <v>45437</v>
      </c>
      <c r="M8" s="415">
        <v>45437</v>
      </c>
      <c r="N8" s="434" t="s">
        <v>23</v>
      </c>
      <c r="O8" s="435" t="s">
        <v>140</v>
      </c>
      <c r="P8" s="435" t="s">
        <v>119</v>
      </c>
      <c r="Q8" s="548" t="s">
        <v>121</v>
      </c>
      <c r="R8" s="550"/>
      <c r="S8" s="561">
        <v>100</v>
      </c>
      <c r="T8" s="437">
        <v>100</v>
      </c>
      <c r="U8" s="561">
        <v>0</v>
      </c>
      <c r="V8" s="441">
        <v>45439</v>
      </c>
      <c r="W8" s="417">
        <v>45439</v>
      </c>
      <c r="X8" s="437">
        <v>100</v>
      </c>
      <c r="Y8" s="437">
        <v>0</v>
      </c>
      <c r="Z8" s="424" t="s">
        <v>12</v>
      </c>
      <c r="AA8" s="568" t="s">
        <v>24</v>
      </c>
      <c r="AB8" s="426" t="s">
        <v>382</v>
      </c>
      <c r="AC8" s="423"/>
      <c r="AD8" s="424"/>
      <c r="AE8" s="425">
        <v>0</v>
      </c>
      <c r="AF8" s="426"/>
      <c r="AG8" s="429">
        <v>0</v>
      </c>
      <c r="AH8" s="429">
        <v>100</v>
      </c>
      <c r="AI8" s="415" t="s">
        <v>23</v>
      </c>
    </row>
    <row r="9" spans="1:35" s="172" customFormat="1" ht="33" customHeight="1" x14ac:dyDescent="0.25">
      <c r="A9" s="316"/>
      <c r="B9" s="371"/>
      <c r="C9" s="494" t="s">
        <v>431</v>
      </c>
      <c r="D9" s="495" t="s">
        <v>198</v>
      </c>
      <c r="E9" s="413" t="s">
        <v>143</v>
      </c>
      <c r="F9" s="372" t="s">
        <v>144</v>
      </c>
      <c r="G9" s="494" t="s">
        <v>24</v>
      </c>
      <c r="H9" s="414"/>
      <c r="I9" s="413"/>
      <c r="J9" s="414"/>
      <c r="K9" s="414"/>
      <c r="L9" s="416">
        <v>45441</v>
      </c>
      <c r="M9" s="415">
        <v>45441</v>
      </c>
      <c r="N9" s="434" t="s">
        <v>23</v>
      </c>
      <c r="O9" s="435" t="s">
        <v>140</v>
      </c>
      <c r="P9" s="435" t="s">
        <v>119</v>
      </c>
      <c r="Q9" s="548" t="s">
        <v>121</v>
      </c>
      <c r="R9" s="550"/>
      <c r="S9" s="561">
        <v>2000</v>
      </c>
      <c r="T9" s="437">
        <v>2000</v>
      </c>
      <c r="U9" s="561">
        <v>0</v>
      </c>
      <c r="V9" s="441">
        <v>45441</v>
      </c>
      <c r="W9" s="417">
        <v>45441</v>
      </c>
      <c r="X9" s="437">
        <v>2000</v>
      </c>
      <c r="Y9" s="437">
        <v>0</v>
      </c>
      <c r="Z9" s="424" t="s">
        <v>12</v>
      </c>
      <c r="AA9" s="568" t="s">
        <v>24</v>
      </c>
      <c r="AB9" s="426" t="s">
        <v>382</v>
      </c>
      <c r="AC9" s="423"/>
      <c r="AD9" s="424"/>
      <c r="AE9" s="425">
        <v>0</v>
      </c>
      <c r="AF9" s="426"/>
      <c r="AG9" s="429">
        <v>0</v>
      </c>
      <c r="AH9" s="429">
        <v>2000</v>
      </c>
      <c r="AI9" s="415" t="s">
        <v>23</v>
      </c>
    </row>
    <row r="10" spans="1:35" s="172" customFormat="1" ht="33" customHeight="1" x14ac:dyDescent="0.25">
      <c r="A10" s="316"/>
      <c r="B10" s="371"/>
      <c r="C10" s="494" t="s">
        <v>431</v>
      </c>
      <c r="D10" s="495" t="s">
        <v>199</v>
      </c>
      <c r="E10" s="413" t="s">
        <v>143</v>
      </c>
      <c r="F10" s="372" t="s">
        <v>144</v>
      </c>
      <c r="G10" s="494" t="s">
        <v>24</v>
      </c>
      <c r="H10" s="414"/>
      <c r="I10" s="413"/>
      <c r="J10" s="414"/>
      <c r="K10" s="414"/>
      <c r="L10" s="416">
        <v>45441</v>
      </c>
      <c r="M10" s="415">
        <v>45441</v>
      </c>
      <c r="N10" s="434" t="s">
        <v>23</v>
      </c>
      <c r="O10" s="435" t="s">
        <v>140</v>
      </c>
      <c r="P10" s="435" t="s">
        <v>119</v>
      </c>
      <c r="Q10" s="548" t="s">
        <v>121</v>
      </c>
      <c r="R10" s="550"/>
      <c r="S10" s="561">
        <v>2000</v>
      </c>
      <c r="T10" s="437">
        <v>2000</v>
      </c>
      <c r="U10" s="561">
        <v>0</v>
      </c>
      <c r="V10" s="441">
        <v>45441</v>
      </c>
      <c r="W10" s="417">
        <v>45441</v>
      </c>
      <c r="X10" s="437">
        <v>2000</v>
      </c>
      <c r="Y10" s="437">
        <v>0</v>
      </c>
      <c r="Z10" s="424" t="s">
        <v>12</v>
      </c>
      <c r="AA10" s="568" t="s">
        <v>24</v>
      </c>
      <c r="AB10" s="426" t="s">
        <v>382</v>
      </c>
      <c r="AC10" s="423"/>
      <c r="AD10" s="424"/>
      <c r="AE10" s="425">
        <v>0</v>
      </c>
      <c r="AF10" s="426"/>
      <c r="AG10" s="429">
        <v>0</v>
      </c>
      <c r="AH10" s="429">
        <v>2000</v>
      </c>
      <c r="AI10" s="415" t="s">
        <v>23</v>
      </c>
    </row>
    <row r="11" spans="1:35" s="172" customFormat="1" ht="33" customHeight="1" x14ac:dyDescent="0.25">
      <c r="A11" s="316"/>
      <c r="B11" s="290"/>
      <c r="C11" s="494" t="s">
        <v>431</v>
      </c>
      <c r="D11" s="495" t="s">
        <v>204</v>
      </c>
      <c r="E11" s="413" t="s">
        <v>446</v>
      </c>
      <c r="F11" s="372" t="s">
        <v>144</v>
      </c>
      <c r="G11" s="494" t="s">
        <v>24</v>
      </c>
      <c r="H11" s="414"/>
      <c r="I11" s="413"/>
      <c r="J11" s="414"/>
      <c r="K11" s="414"/>
      <c r="L11" s="416">
        <v>45439</v>
      </c>
      <c r="M11" s="415">
        <v>45439</v>
      </c>
      <c r="N11" s="434" t="s">
        <v>444</v>
      </c>
      <c r="O11" s="435" t="s">
        <v>429</v>
      </c>
      <c r="P11" s="435" t="s">
        <v>120</v>
      </c>
      <c r="Q11" s="548" t="s">
        <v>121</v>
      </c>
      <c r="R11" s="550"/>
      <c r="S11" s="561">
        <v>40</v>
      </c>
      <c r="T11" s="437">
        <v>40</v>
      </c>
      <c r="U11" s="561">
        <v>0</v>
      </c>
      <c r="V11" s="441">
        <v>45439</v>
      </c>
      <c r="W11" s="417">
        <v>45439</v>
      </c>
      <c r="X11" s="437">
        <v>40</v>
      </c>
      <c r="Y11" s="437">
        <v>0</v>
      </c>
      <c r="Z11" s="424" t="s">
        <v>447</v>
      </c>
      <c r="AA11" s="568" t="s">
        <v>24</v>
      </c>
      <c r="AB11" s="426" t="s">
        <v>382</v>
      </c>
      <c r="AC11" s="423"/>
      <c r="AD11" s="424"/>
      <c r="AE11" s="425">
        <v>0</v>
      </c>
      <c r="AF11" s="426"/>
      <c r="AG11" s="429">
        <v>0</v>
      </c>
      <c r="AH11" s="429">
        <v>40</v>
      </c>
      <c r="AI11" s="415" t="s">
        <v>23</v>
      </c>
    </row>
    <row r="12" spans="1:35" s="172" customFormat="1" ht="33" customHeight="1" x14ac:dyDescent="0.25">
      <c r="A12" s="316"/>
      <c r="B12" s="290"/>
      <c r="C12" s="494" t="s">
        <v>431</v>
      </c>
      <c r="D12" s="495" t="s">
        <v>207</v>
      </c>
      <c r="E12" s="413" t="s">
        <v>446</v>
      </c>
      <c r="F12" s="372" t="s">
        <v>144</v>
      </c>
      <c r="G12" s="494" t="s">
        <v>24</v>
      </c>
      <c r="H12" s="414"/>
      <c r="I12" s="413"/>
      <c r="J12" s="414"/>
      <c r="K12" s="414"/>
      <c r="L12" s="416">
        <v>45436</v>
      </c>
      <c r="M12" s="415">
        <v>45046</v>
      </c>
      <c r="N12" s="434" t="s">
        <v>445</v>
      </c>
      <c r="O12" s="435" t="s">
        <v>429</v>
      </c>
      <c r="P12" s="435" t="s">
        <v>120</v>
      </c>
      <c r="Q12" s="548" t="s">
        <v>121</v>
      </c>
      <c r="R12" s="551">
        <v>87361</v>
      </c>
      <c r="S12" s="561">
        <v>525.54999999999995</v>
      </c>
      <c r="T12" s="432">
        <v>525.54999999999995</v>
      </c>
      <c r="U12" s="566">
        <v>0</v>
      </c>
      <c r="V12" s="562">
        <v>45425</v>
      </c>
      <c r="W12" s="417">
        <v>45425</v>
      </c>
      <c r="X12" s="437">
        <v>525.54999999999995</v>
      </c>
      <c r="Y12" s="437">
        <v>0</v>
      </c>
      <c r="Z12" s="433" t="s">
        <v>447</v>
      </c>
      <c r="AA12" s="568" t="s">
        <v>24</v>
      </c>
      <c r="AB12" s="426" t="s">
        <v>382</v>
      </c>
      <c r="AC12" s="423"/>
      <c r="AD12" s="424"/>
      <c r="AE12" s="425">
        <v>0</v>
      </c>
      <c r="AF12" s="426"/>
      <c r="AG12" s="429">
        <v>0</v>
      </c>
      <c r="AH12" s="429">
        <v>525.54999999999995</v>
      </c>
      <c r="AI12" s="415" t="s">
        <v>23</v>
      </c>
    </row>
    <row r="13" spans="1:35" s="172" customFormat="1" ht="33" customHeight="1" x14ac:dyDescent="0.25">
      <c r="A13" s="316"/>
      <c r="B13" s="290"/>
      <c r="C13" s="494" t="s">
        <v>431</v>
      </c>
      <c r="D13" s="495" t="s">
        <v>209</v>
      </c>
      <c r="E13" s="413" t="s">
        <v>446</v>
      </c>
      <c r="F13" s="372" t="s">
        <v>144</v>
      </c>
      <c r="G13" s="494" t="s">
        <v>24</v>
      </c>
      <c r="H13" s="414"/>
      <c r="I13" s="413"/>
      <c r="J13" s="414"/>
      <c r="K13" s="414"/>
      <c r="L13" s="416">
        <v>45425</v>
      </c>
      <c r="M13" s="415">
        <v>45425</v>
      </c>
      <c r="N13" s="434" t="s">
        <v>448</v>
      </c>
      <c r="O13" s="435" t="s">
        <v>429</v>
      </c>
      <c r="P13" s="435" t="s">
        <v>120</v>
      </c>
      <c r="Q13" s="548" t="s">
        <v>121</v>
      </c>
      <c r="R13" s="550"/>
      <c r="S13" s="561">
        <v>110.32</v>
      </c>
      <c r="T13" s="437">
        <v>110.32</v>
      </c>
      <c r="U13" s="561">
        <v>0</v>
      </c>
      <c r="V13" s="441">
        <v>45427</v>
      </c>
      <c r="W13" s="417">
        <v>45427</v>
      </c>
      <c r="X13" s="437">
        <v>110.32</v>
      </c>
      <c r="Y13" s="437">
        <v>0</v>
      </c>
      <c r="Z13" s="424" t="s">
        <v>447</v>
      </c>
      <c r="AA13" s="568" t="s">
        <v>24</v>
      </c>
      <c r="AB13" s="426" t="s">
        <v>382</v>
      </c>
      <c r="AC13" s="423"/>
      <c r="AD13" s="424"/>
      <c r="AE13" s="425">
        <v>0</v>
      </c>
      <c r="AF13" s="426"/>
      <c r="AG13" s="429">
        <v>0</v>
      </c>
      <c r="AH13" s="429">
        <v>110.32</v>
      </c>
      <c r="AI13" s="415" t="s">
        <v>23</v>
      </c>
    </row>
    <row r="14" spans="1:35" s="172" customFormat="1" ht="33" customHeight="1" x14ac:dyDescent="0.25">
      <c r="A14" s="316"/>
      <c r="B14" s="290"/>
      <c r="C14" s="494" t="s">
        <v>431</v>
      </c>
      <c r="D14" s="495" t="s">
        <v>210</v>
      </c>
      <c r="E14" s="413" t="s">
        <v>446</v>
      </c>
      <c r="F14" s="372" t="s">
        <v>144</v>
      </c>
      <c r="G14" s="494" t="s">
        <v>24</v>
      </c>
      <c r="H14" s="414"/>
      <c r="I14" s="413"/>
      <c r="J14" s="414"/>
      <c r="K14" s="414"/>
      <c r="L14" s="416">
        <v>45425</v>
      </c>
      <c r="M14" s="415">
        <v>45425</v>
      </c>
      <c r="N14" s="434" t="s">
        <v>449</v>
      </c>
      <c r="O14" s="435" t="s">
        <v>429</v>
      </c>
      <c r="P14" s="435" t="s">
        <v>120</v>
      </c>
      <c r="Q14" s="548" t="s">
        <v>121</v>
      </c>
      <c r="R14" s="550"/>
      <c r="S14" s="561">
        <v>61.19</v>
      </c>
      <c r="T14" s="437">
        <v>61.19</v>
      </c>
      <c r="U14" s="561">
        <v>0</v>
      </c>
      <c r="V14" s="441">
        <v>45427</v>
      </c>
      <c r="W14" s="417">
        <v>45427</v>
      </c>
      <c r="X14" s="437">
        <v>61.19</v>
      </c>
      <c r="Y14" s="437">
        <v>0</v>
      </c>
      <c r="Z14" s="424" t="s">
        <v>447</v>
      </c>
      <c r="AA14" s="568" t="s">
        <v>24</v>
      </c>
      <c r="AB14" s="426" t="s">
        <v>382</v>
      </c>
      <c r="AC14" s="423"/>
      <c r="AD14" s="424"/>
      <c r="AE14" s="425">
        <v>0</v>
      </c>
      <c r="AF14" s="426"/>
      <c r="AG14" s="429">
        <v>0</v>
      </c>
      <c r="AH14" s="429">
        <v>61.19</v>
      </c>
      <c r="AI14" s="415" t="s">
        <v>23</v>
      </c>
    </row>
    <row r="15" spans="1:35" s="172" customFormat="1" ht="33" customHeight="1" x14ac:dyDescent="0.25">
      <c r="A15" s="316"/>
      <c r="B15" s="290"/>
      <c r="C15" s="494" t="s">
        <v>431</v>
      </c>
      <c r="D15" s="495" t="s">
        <v>215</v>
      </c>
      <c r="E15" s="413" t="s">
        <v>446</v>
      </c>
      <c r="F15" s="372" t="s">
        <v>144</v>
      </c>
      <c r="G15" s="494" t="s">
        <v>24</v>
      </c>
      <c r="H15" s="414"/>
      <c r="I15" s="413"/>
      <c r="J15" s="414"/>
      <c r="K15" s="414"/>
      <c r="L15" s="416">
        <v>45429</v>
      </c>
      <c r="M15" s="415">
        <v>45429</v>
      </c>
      <c r="N15" s="434" t="s">
        <v>450</v>
      </c>
      <c r="O15" s="435" t="s">
        <v>429</v>
      </c>
      <c r="P15" s="435" t="s">
        <v>120</v>
      </c>
      <c r="Q15" s="548" t="s">
        <v>121</v>
      </c>
      <c r="R15" s="549"/>
      <c r="S15" s="561">
        <v>220.13</v>
      </c>
      <c r="T15" s="421">
        <v>220.13</v>
      </c>
      <c r="U15" s="565">
        <v>0</v>
      </c>
      <c r="V15" s="422">
        <v>45429</v>
      </c>
      <c r="W15" s="479">
        <v>45429</v>
      </c>
      <c r="X15" s="437">
        <v>220.13</v>
      </c>
      <c r="Y15" s="437">
        <v>0</v>
      </c>
      <c r="Z15" s="426" t="s">
        <v>447</v>
      </c>
      <c r="AA15" s="568" t="s">
        <v>24</v>
      </c>
      <c r="AB15" s="426" t="s">
        <v>382</v>
      </c>
      <c r="AC15" s="423"/>
      <c r="AD15" s="424"/>
      <c r="AE15" s="425">
        <v>0</v>
      </c>
      <c r="AF15" s="426"/>
      <c r="AG15" s="429">
        <v>0</v>
      </c>
      <c r="AH15" s="429">
        <v>220.13</v>
      </c>
      <c r="AI15" s="415" t="s">
        <v>23</v>
      </c>
    </row>
    <row r="16" spans="1:35" s="172" customFormat="1" ht="33" customHeight="1" x14ac:dyDescent="0.25">
      <c r="A16" s="316"/>
      <c r="B16" s="290"/>
      <c r="C16" s="494" t="s">
        <v>431</v>
      </c>
      <c r="D16" s="495" t="s">
        <v>223</v>
      </c>
      <c r="E16" s="413" t="s">
        <v>446</v>
      </c>
      <c r="F16" s="372" t="s">
        <v>144</v>
      </c>
      <c r="G16" s="494" t="s">
        <v>24</v>
      </c>
      <c r="H16" s="414"/>
      <c r="I16" s="413"/>
      <c r="J16" s="414"/>
      <c r="K16" s="414"/>
      <c r="L16" s="416">
        <v>45432</v>
      </c>
      <c r="M16" s="415">
        <v>45432</v>
      </c>
      <c r="N16" s="434" t="s">
        <v>452</v>
      </c>
      <c r="O16" s="435" t="s">
        <v>429</v>
      </c>
      <c r="P16" s="435" t="s">
        <v>120</v>
      </c>
      <c r="Q16" s="548" t="s">
        <v>121</v>
      </c>
      <c r="R16" s="550"/>
      <c r="S16" s="561">
        <v>60</v>
      </c>
      <c r="T16" s="437">
        <v>60</v>
      </c>
      <c r="U16" s="561">
        <v>0</v>
      </c>
      <c r="V16" s="441">
        <v>45432</v>
      </c>
      <c r="W16" s="417">
        <v>45432</v>
      </c>
      <c r="X16" s="437">
        <v>60</v>
      </c>
      <c r="Y16" s="437">
        <v>0</v>
      </c>
      <c r="Z16" s="424" t="s">
        <v>447</v>
      </c>
      <c r="AA16" s="568" t="s">
        <v>24</v>
      </c>
      <c r="AB16" s="426" t="s">
        <v>382</v>
      </c>
      <c r="AC16" s="423"/>
      <c r="AD16" s="424"/>
      <c r="AE16" s="425">
        <v>0</v>
      </c>
      <c r="AF16" s="426"/>
      <c r="AG16" s="429">
        <v>0</v>
      </c>
      <c r="AH16" s="429">
        <v>60</v>
      </c>
      <c r="AI16" s="415" t="s">
        <v>23</v>
      </c>
    </row>
    <row r="17" spans="1:36" s="172" customFormat="1" ht="33" customHeight="1" x14ac:dyDescent="0.25">
      <c r="A17" s="316"/>
      <c r="B17" s="290"/>
      <c r="C17" s="494" t="s">
        <v>431</v>
      </c>
      <c r="D17" s="495" t="s">
        <v>224</v>
      </c>
      <c r="E17" s="413" t="s">
        <v>446</v>
      </c>
      <c r="F17" s="372" t="s">
        <v>144</v>
      </c>
      <c r="G17" s="494" t="s">
        <v>24</v>
      </c>
      <c r="H17" s="414"/>
      <c r="I17" s="413"/>
      <c r="J17" s="414"/>
      <c r="K17" s="414"/>
      <c r="L17" s="416">
        <v>45432</v>
      </c>
      <c r="M17" s="415">
        <v>45432</v>
      </c>
      <c r="N17" s="434" t="s">
        <v>453</v>
      </c>
      <c r="O17" s="435" t="s">
        <v>429</v>
      </c>
      <c r="P17" s="435" t="s">
        <v>120</v>
      </c>
      <c r="Q17" s="548" t="s">
        <v>121</v>
      </c>
      <c r="R17" s="550"/>
      <c r="S17" s="561">
        <v>46</v>
      </c>
      <c r="T17" s="437">
        <v>46</v>
      </c>
      <c r="U17" s="561">
        <v>0</v>
      </c>
      <c r="V17" s="441">
        <v>45432</v>
      </c>
      <c r="W17" s="417">
        <v>45432</v>
      </c>
      <c r="X17" s="437">
        <v>46</v>
      </c>
      <c r="Y17" s="437">
        <v>0</v>
      </c>
      <c r="Z17" s="424" t="s">
        <v>447</v>
      </c>
      <c r="AA17" s="568" t="s">
        <v>24</v>
      </c>
      <c r="AB17" s="426" t="s">
        <v>382</v>
      </c>
      <c r="AC17" s="423"/>
      <c r="AD17" s="424"/>
      <c r="AE17" s="425">
        <v>0</v>
      </c>
      <c r="AF17" s="426"/>
      <c r="AG17" s="429">
        <v>0</v>
      </c>
      <c r="AH17" s="429">
        <v>46</v>
      </c>
      <c r="AI17" s="415" t="s">
        <v>23</v>
      </c>
    </row>
    <row r="18" spans="1:36" s="172" customFormat="1" ht="33" customHeight="1" x14ac:dyDescent="0.25">
      <c r="A18" s="316"/>
      <c r="B18" s="290"/>
      <c r="C18" s="494" t="s">
        <v>431</v>
      </c>
      <c r="D18" s="495" t="s">
        <v>279</v>
      </c>
      <c r="E18" s="413" t="s">
        <v>446</v>
      </c>
      <c r="F18" s="372" t="s">
        <v>144</v>
      </c>
      <c r="G18" s="494" t="s">
        <v>24</v>
      </c>
      <c r="H18" s="414"/>
      <c r="I18" s="413"/>
      <c r="J18" s="414"/>
      <c r="K18" s="414"/>
      <c r="L18" s="416">
        <v>45425</v>
      </c>
      <c r="M18" s="415">
        <v>45425</v>
      </c>
      <c r="N18" s="434" t="s">
        <v>23</v>
      </c>
      <c r="O18" s="435" t="s">
        <v>140</v>
      </c>
      <c r="P18" s="435" t="s">
        <v>119</v>
      </c>
      <c r="Q18" s="548" t="s">
        <v>121</v>
      </c>
      <c r="R18" s="550"/>
      <c r="S18" s="561">
        <v>85</v>
      </c>
      <c r="T18" s="437">
        <v>85</v>
      </c>
      <c r="U18" s="561">
        <v>0</v>
      </c>
      <c r="V18" s="441">
        <v>45425</v>
      </c>
      <c r="W18" s="417">
        <v>45425</v>
      </c>
      <c r="X18" s="437">
        <v>85</v>
      </c>
      <c r="Y18" s="437">
        <v>0</v>
      </c>
      <c r="Z18" s="424" t="s">
        <v>447</v>
      </c>
      <c r="AA18" s="568" t="s">
        <v>24</v>
      </c>
      <c r="AB18" s="426" t="s">
        <v>382</v>
      </c>
      <c r="AC18" s="423"/>
      <c r="AD18" s="424"/>
      <c r="AE18" s="425">
        <v>0</v>
      </c>
      <c r="AF18" s="426"/>
      <c r="AG18" s="429">
        <v>0</v>
      </c>
      <c r="AH18" s="429">
        <v>85</v>
      </c>
      <c r="AI18" s="415" t="s">
        <v>23</v>
      </c>
    </row>
    <row r="19" spans="1:36" s="172" customFormat="1" ht="33" customHeight="1" x14ac:dyDescent="0.25">
      <c r="A19" s="316"/>
      <c r="B19" s="290"/>
      <c r="C19" s="494" t="s">
        <v>431</v>
      </c>
      <c r="D19" s="495" t="s">
        <v>280</v>
      </c>
      <c r="E19" s="413" t="s">
        <v>446</v>
      </c>
      <c r="F19" s="372" t="s">
        <v>144</v>
      </c>
      <c r="G19" s="494" t="s">
        <v>24</v>
      </c>
      <c r="H19" s="414"/>
      <c r="I19" s="413"/>
      <c r="J19" s="414"/>
      <c r="K19" s="414"/>
      <c r="L19" s="416">
        <v>45413</v>
      </c>
      <c r="M19" s="415">
        <v>45413</v>
      </c>
      <c r="N19" s="434" t="s">
        <v>521</v>
      </c>
      <c r="O19" s="435" t="s">
        <v>429</v>
      </c>
      <c r="P19" s="435" t="s">
        <v>120</v>
      </c>
      <c r="Q19" s="548" t="s">
        <v>121</v>
      </c>
      <c r="R19" s="550"/>
      <c r="S19" s="561">
        <v>669.64</v>
      </c>
      <c r="T19" s="437">
        <v>669.64</v>
      </c>
      <c r="U19" s="561">
        <v>0</v>
      </c>
      <c r="V19" s="441">
        <v>45413</v>
      </c>
      <c r="W19" s="417">
        <v>45413</v>
      </c>
      <c r="X19" s="437">
        <v>669.64</v>
      </c>
      <c r="Y19" s="437">
        <v>0</v>
      </c>
      <c r="Z19" s="424" t="s">
        <v>447</v>
      </c>
      <c r="AA19" s="568" t="s">
        <v>24</v>
      </c>
      <c r="AB19" s="426" t="s">
        <v>382</v>
      </c>
      <c r="AC19" s="423"/>
      <c r="AD19" s="424"/>
      <c r="AE19" s="425">
        <v>0</v>
      </c>
      <c r="AF19" s="426"/>
      <c r="AG19" s="429">
        <v>0</v>
      </c>
      <c r="AH19" s="429">
        <v>669.64</v>
      </c>
      <c r="AI19" s="415" t="s">
        <v>23</v>
      </c>
    </row>
    <row r="20" spans="1:36" s="172" customFormat="1" ht="33" customHeight="1" x14ac:dyDescent="0.25">
      <c r="A20" s="316"/>
      <c r="B20" s="290"/>
      <c r="C20" s="494" t="s">
        <v>431</v>
      </c>
      <c r="D20" s="495" t="s">
        <v>281</v>
      </c>
      <c r="E20" s="413" t="s">
        <v>446</v>
      </c>
      <c r="F20" s="372" t="s">
        <v>144</v>
      </c>
      <c r="G20" s="494" t="s">
        <v>24</v>
      </c>
      <c r="H20" s="414"/>
      <c r="I20" s="413"/>
      <c r="J20" s="414"/>
      <c r="K20" s="414"/>
      <c r="L20" s="416">
        <v>45415</v>
      </c>
      <c r="M20" s="415">
        <v>45415</v>
      </c>
      <c r="N20" s="434" t="s">
        <v>522</v>
      </c>
      <c r="O20" s="435" t="s">
        <v>429</v>
      </c>
      <c r="P20" s="435" t="s">
        <v>120</v>
      </c>
      <c r="Q20" s="548" t="s">
        <v>121</v>
      </c>
      <c r="R20" s="552"/>
      <c r="S20" s="561">
        <v>105.26</v>
      </c>
      <c r="T20" s="437">
        <v>105.26</v>
      </c>
      <c r="U20" s="561">
        <v>0</v>
      </c>
      <c r="V20" s="441">
        <v>45415</v>
      </c>
      <c r="W20" s="417">
        <v>45415</v>
      </c>
      <c r="X20" s="437">
        <v>105.26</v>
      </c>
      <c r="Y20" s="437">
        <v>0</v>
      </c>
      <c r="Z20" s="424" t="s">
        <v>447</v>
      </c>
      <c r="AA20" s="568" t="s">
        <v>24</v>
      </c>
      <c r="AB20" s="426" t="s">
        <v>382</v>
      </c>
      <c r="AC20" s="423"/>
      <c r="AD20" s="424"/>
      <c r="AE20" s="425">
        <v>0</v>
      </c>
      <c r="AF20" s="426"/>
      <c r="AG20" s="429">
        <v>0</v>
      </c>
      <c r="AH20" s="429">
        <v>105.26</v>
      </c>
      <c r="AI20" s="415" t="s">
        <v>23</v>
      </c>
    </row>
    <row r="21" spans="1:36" s="172" customFormat="1" ht="33" customHeight="1" x14ac:dyDescent="0.25">
      <c r="A21" s="316"/>
      <c r="B21" s="290"/>
      <c r="C21" s="494" t="s">
        <v>431</v>
      </c>
      <c r="D21" s="495" t="s">
        <v>282</v>
      </c>
      <c r="E21" s="413" t="s">
        <v>446</v>
      </c>
      <c r="F21" s="372" t="s">
        <v>144</v>
      </c>
      <c r="G21" s="494" t="s">
        <v>24</v>
      </c>
      <c r="H21" s="414"/>
      <c r="I21" s="413"/>
      <c r="J21" s="414"/>
      <c r="K21" s="414"/>
      <c r="L21" s="416">
        <v>45425</v>
      </c>
      <c r="M21" s="415">
        <v>45425</v>
      </c>
      <c r="N21" s="434" t="s">
        <v>523</v>
      </c>
      <c r="O21" s="435" t="s">
        <v>429</v>
      </c>
      <c r="P21" s="435" t="s">
        <v>120</v>
      </c>
      <c r="Q21" s="548" t="s">
        <v>121</v>
      </c>
      <c r="R21" s="552"/>
      <c r="S21" s="561">
        <v>14.4</v>
      </c>
      <c r="T21" s="437">
        <v>14.4</v>
      </c>
      <c r="U21" s="561">
        <v>0</v>
      </c>
      <c r="V21" s="441">
        <v>45425</v>
      </c>
      <c r="W21" s="417">
        <v>45425</v>
      </c>
      <c r="X21" s="437">
        <v>14.4</v>
      </c>
      <c r="Y21" s="437">
        <v>0</v>
      </c>
      <c r="Z21" s="424" t="s">
        <v>447</v>
      </c>
      <c r="AA21" s="568" t="s">
        <v>24</v>
      </c>
      <c r="AB21" s="426" t="s">
        <v>382</v>
      </c>
      <c r="AC21" s="423"/>
      <c r="AD21" s="424"/>
      <c r="AE21" s="425">
        <v>0</v>
      </c>
      <c r="AF21" s="426"/>
      <c r="AG21" s="429">
        <v>0</v>
      </c>
      <c r="AH21" s="429">
        <v>14.4</v>
      </c>
      <c r="AI21" s="415" t="s">
        <v>23</v>
      </c>
    </row>
    <row r="22" spans="1:36" s="172" customFormat="1" ht="33" customHeight="1" x14ac:dyDescent="0.25">
      <c r="A22" s="316"/>
      <c r="B22" s="290"/>
      <c r="C22" s="494" t="s">
        <v>431</v>
      </c>
      <c r="D22" s="495" t="s">
        <v>288</v>
      </c>
      <c r="E22" s="413" t="s">
        <v>446</v>
      </c>
      <c r="F22" s="372" t="s">
        <v>144</v>
      </c>
      <c r="G22" s="494" t="s">
        <v>24</v>
      </c>
      <c r="H22" s="414"/>
      <c r="I22" s="413"/>
      <c r="J22" s="414"/>
      <c r="K22" s="414"/>
      <c r="L22" s="416">
        <v>45416</v>
      </c>
      <c r="M22" s="415">
        <v>45416</v>
      </c>
      <c r="N22" s="434" t="s">
        <v>524</v>
      </c>
      <c r="O22" s="435" t="s">
        <v>429</v>
      </c>
      <c r="P22" s="435" t="s">
        <v>120</v>
      </c>
      <c r="Q22" s="548" t="s">
        <v>121</v>
      </c>
      <c r="R22" s="553">
        <v>142.05000000000001</v>
      </c>
      <c r="S22" s="561">
        <v>866.16</v>
      </c>
      <c r="T22" s="432">
        <v>866.16</v>
      </c>
      <c r="U22" s="566">
        <v>0</v>
      </c>
      <c r="V22" s="441">
        <v>45420</v>
      </c>
      <c r="W22" s="417">
        <v>45420</v>
      </c>
      <c r="X22" s="437">
        <v>866.16</v>
      </c>
      <c r="Y22" s="437">
        <v>0</v>
      </c>
      <c r="Z22" s="433" t="s">
        <v>447</v>
      </c>
      <c r="AA22" s="568" t="s">
        <v>24</v>
      </c>
      <c r="AB22" s="426" t="s">
        <v>382</v>
      </c>
      <c r="AC22" s="423"/>
      <c r="AD22" s="424"/>
      <c r="AE22" s="425">
        <v>0</v>
      </c>
      <c r="AF22" s="426"/>
      <c r="AG22" s="429">
        <v>0</v>
      </c>
      <c r="AH22" s="429">
        <v>866.16</v>
      </c>
      <c r="AI22" s="415" t="s">
        <v>23</v>
      </c>
    </row>
    <row r="23" spans="1:36" s="172" customFormat="1" ht="33" customHeight="1" x14ac:dyDescent="0.25">
      <c r="A23" s="316"/>
      <c r="B23" s="290"/>
      <c r="C23" s="494" t="s">
        <v>431</v>
      </c>
      <c r="D23" s="495" t="s">
        <v>289</v>
      </c>
      <c r="E23" s="413" t="s">
        <v>446</v>
      </c>
      <c r="F23" s="372" t="s">
        <v>144</v>
      </c>
      <c r="G23" s="494" t="s">
        <v>24</v>
      </c>
      <c r="H23" s="414"/>
      <c r="I23" s="413"/>
      <c r="J23" s="414"/>
      <c r="K23" s="414"/>
      <c r="L23" s="416">
        <v>45414</v>
      </c>
      <c r="M23" s="415">
        <v>45414</v>
      </c>
      <c r="N23" s="434" t="s">
        <v>525</v>
      </c>
      <c r="O23" s="435" t="s">
        <v>429</v>
      </c>
      <c r="P23" s="435" t="s">
        <v>120</v>
      </c>
      <c r="Q23" s="548" t="s">
        <v>121</v>
      </c>
      <c r="R23" s="554">
        <v>930.26</v>
      </c>
      <c r="S23" s="561">
        <v>873.65</v>
      </c>
      <c r="T23" s="432">
        <v>873.65</v>
      </c>
      <c r="U23" s="566">
        <v>0</v>
      </c>
      <c r="V23" s="441">
        <v>45420</v>
      </c>
      <c r="W23" s="417">
        <v>45420</v>
      </c>
      <c r="X23" s="437">
        <v>873.65</v>
      </c>
      <c r="Y23" s="437">
        <v>0</v>
      </c>
      <c r="Z23" s="433" t="s">
        <v>447</v>
      </c>
      <c r="AA23" s="568" t="s">
        <v>24</v>
      </c>
      <c r="AB23" s="426" t="s">
        <v>382</v>
      </c>
      <c r="AC23" s="423"/>
      <c r="AD23" s="424"/>
      <c r="AE23" s="425">
        <v>0</v>
      </c>
      <c r="AF23" s="426"/>
      <c r="AG23" s="429">
        <v>0</v>
      </c>
      <c r="AH23" s="429">
        <v>873.65</v>
      </c>
      <c r="AI23" s="415" t="s">
        <v>23</v>
      </c>
    </row>
    <row r="24" spans="1:36" s="172" customFormat="1" ht="33" customHeight="1" x14ac:dyDescent="0.25">
      <c r="A24" s="316"/>
      <c r="B24" s="290"/>
      <c r="C24" s="494" t="s">
        <v>431</v>
      </c>
      <c r="D24" s="495" t="s">
        <v>290</v>
      </c>
      <c r="E24" s="413" t="s">
        <v>446</v>
      </c>
      <c r="F24" s="372" t="s">
        <v>144</v>
      </c>
      <c r="G24" s="494" t="s">
        <v>24</v>
      </c>
      <c r="H24" s="414"/>
      <c r="I24" s="413"/>
      <c r="J24" s="414"/>
      <c r="K24" s="414"/>
      <c r="L24" s="416">
        <v>45417</v>
      </c>
      <c r="M24" s="415">
        <v>45417</v>
      </c>
      <c r="N24" s="434" t="s">
        <v>525</v>
      </c>
      <c r="O24" s="435" t="s">
        <v>429</v>
      </c>
      <c r="P24" s="435" t="s">
        <v>120</v>
      </c>
      <c r="Q24" s="548" t="s">
        <v>121</v>
      </c>
      <c r="R24" s="554"/>
      <c r="S24" s="561">
        <v>590.62</v>
      </c>
      <c r="T24" s="432">
        <v>590.62</v>
      </c>
      <c r="U24" s="566">
        <v>0</v>
      </c>
      <c r="V24" s="441">
        <v>45420</v>
      </c>
      <c r="W24" s="417">
        <v>45420</v>
      </c>
      <c r="X24" s="437">
        <v>590.62</v>
      </c>
      <c r="Y24" s="437">
        <v>0</v>
      </c>
      <c r="Z24" s="433" t="s">
        <v>447</v>
      </c>
      <c r="AA24" s="568" t="s">
        <v>24</v>
      </c>
      <c r="AB24" s="426" t="s">
        <v>382</v>
      </c>
      <c r="AC24" s="423"/>
      <c r="AD24" s="424"/>
      <c r="AE24" s="425">
        <v>0</v>
      </c>
      <c r="AF24" s="426"/>
      <c r="AG24" s="429">
        <v>0</v>
      </c>
      <c r="AH24" s="429">
        <v>590.62</v>
      </c>
      <c r="AI24" s="415" t="s">
        <v>23</v>
      </c>
    </row>
    <row r="25" spans="1:36" s="172" customFormat="1" ht="33" customHeight="1" x14ac:dyDescent="0.25">
      <c r="A25" s="316"/>
      <c r="B25" s="290"/>
      <c r="C25" s="494" t="s">
        <v>431</v>
      </c>
      <c r="D25" s="495" t="s">
        <v>299</v>
      </c>
      <c r="E25" s="413" t="s">
        <v>446</v>
      </c>
      <c r="F25" s="372" t="s">
        <v>144</v>
      </c>
      <c r="G25" s="494" t="s">
        <v>24</v>
      </c>
      <c r="H25" s="414"/>
      <c r="I25" s="413"/>
      <c r="J25" s="414"/>
      <c r="K25" s="414"/>
      <c r="L25" s="416">
        <v>45443</v>
      </c>
      <c r="M25" s="415">
        <v>45443</v>
      </c>
      <c r="N25" s="434" t="s">
        <v>526</v>
      </c>
      <c r="O25" s="435" t="s">
        <v>429</v>
      </c>
      <c r="P25" s="435" t="s">
        <v>120</v>
      </c>
      <c r="Q25" s="548" t="s">
        <v>121</v>
      </c>
      <c r="R25" s="447"/>
      <c r="S25" s="561">
        <v>80</v>
      </c>
      <c r="T25" s="437">
        <v>80</v>
      </c>
      <c r="U25" s="561">
        <v>0</v>
      </c>
      <c r="V25" s="441">
        <v>45443</v>
      </c>
      <c r="W25" s="417">
        <v>45443</v>
      </c>
      <c r="X25" s="437">
        <v>80</v>
      </c>
      <c r="Y25" s="437">
        <v>0</v>
      </c>
      <c r="Z25" s="424" t="s">
        <v>447</v>
      </c>
      <c r="AA25" s="568" t="s">
        <v>24</v>
      </c>
      <c r="AB25" s="426" t="s">
        <v>382</v>
      </c>
      <c r="AC25" s="423"/>
      <c r="AD25" s="424"/>
      <c r="AE25" s="425">
        <v>0</v>
      </c>
      <c r="AF25" s="426"/>
      <c r="AG25" s="429">
        <v>0</v>
      </c>
      <c r="AH25" s="429">
        <v>80</v>
      </c>
      <c r="AI25" s="415" t="s">
        <v>23</v>
      </c>
    </row>
    <row r="26" spans="1:36" s="172" customFormat="1" ht="33" customHeight="1" x14ac:dyDescent="0.25">
      <c r="A26" s="316"/>
      <c r="B26" s="290"/>
      <c r="C26" s="494" t="s">
        <v>431</v>
      </c>
      <c r="D26" s="495" t="s">
        <v>301</v>
      </c>
      <c r="E26" s="413" t="s">
        <v>446</v>
      </c>
      <c r="F26" s="372" t="s">
        <v>144</v>
      </c>
      <c r="G26" s="494" t="s">
        <v>24</v>
      </c>
      <c r="H26" s="414"/>
      <c r="I26" s="413"/>
      <c r="J26" s="414"/>
      <c r="K26" s="414"/>
      <c r="L26" s="416">
        <v>45442</v>
      </c>
      <c r="M26" s="415">
        <v>45442</v>
      </c>
      <c r="N26" s="434" t="s">
        <v>443</v>
      </c>
      <c r="O26" s="435" t="s">
        <v>429</v>
      </c>
      <c r="P26" s="435" t="s">
        <v>120</v>
      </c>
      <c r="Q26" s="548" t="s">
        <v>121</v>
      </c>
      <c r="R26" s="550"/>
      <c r="S26" s="561">
        <v>129.6</v>
      </c>
      <c r="T26" s="437">
        <v>129.6</v>
      </c>
      <c r="U26" s="561">
        <v>0</v>
      </c>
      <c r="V26" s="441">
        <v>45442</v>
      </c>
      <c r="W26" s="417">
        <v>45442</v>
      </c>
      <c r="X26" s="437">
        <v>129.6</v>
      </c>
      <c r="Y26" s="437">
        <v>0</v>
      </c>
      <c r="Z26" s="424" t="s">
        <v>447</v>
      </c>
      <c r="AA26" s="568" t="s">
        <v>24</v>
      </c>
      <c r="AB26" s="426" t="s">
        <v>382</v>
      </c>
      <c r="AC26" s="440" t="s">
        <v>527</v>
      </c>
      <c r="AD26" s="424"/>
      <c r="AE26" s="425">
        <v>0</v>
      </c>
      <c r="AF26" s="426"/>
      <c r="AG26" s="429">
        <v>0</v>
      </c>
      <c r="AH26" s="429">
        <v>129.6</v>
      </c>
      <c r="AI26" s="415" t="s">
        <v>23</v>
      </c>
    </row>
    <row r="27" spans="1:36" ht="32" customHeight="1" x14ac:dyDescent="0.2">
      <c r="B27" s="481" t="s">
        <v>397</v>
      </c>
      <c r="C27" s="1024" t="s">
        <v>395</v>
      </c>
      <c r="D27" s="1025"/>
      <c r="E27" s="1025"/>
      <c r="F27" s="1025"/>
      <c r="G27" s="1025"/>
      <c r="H27" s="1025"/>
      <c r="I27" s="1025"/>
      <c r="J27" s="1025"/>
      <c r="K27" s="1025"/>
      <c r="L27" s="1025"/>
      <c r="M27" s="1025"/>
      <c r="N27" s="1025"/>
      <c r="O27" s="1025"/>
      <c r="P27" s="1025"/>
      <c r="Q27" s="1025"/>
      <c r="R27" s="445"/>
      <c r="S27" s="446">
        <f>SUM(S5:S26)</f>
        <v>11677.519999999999</v>
      </c>
      <c r="T27" s="446"/>
      <c r="U27" s="482"/>
      <c r="V27" s="482"/>
      <c r="W27" s="469"/>
      <c r="X27" s="469"/>
      <c r="Y27" s="469"/>
      <c r="Z27" s="483"/>
      <c r="AA27" s="469"/>
      <c r="AB27" s="469"/>
      <c r="AC27" s="469"/>
      <c r="AD27" s="469"/>
      <c r="AE27" s="469"/>
      <c r="AF27" s="469"/>
      <c r="AG27" s="469"/>
      <c r="AH27" s="469"/>
      <c r="AI27" s="483"/>
    </row>
    <row r="28" spans="1:36" s="172" customFormat="1" ht="31" customHeight="1" x14ac:dyDescent="0.25">
      <c r="A28" s="316"/>
      <c r="B28" s="288"/>
      <c r="C28" s="494" t="s">
        <v>431</v>
      </c>
      <c r="D28" s="495" t="s">
        <v>236</v>
      </c>
      <c r="E28" s="413" t="s">
        <v>380</v>
      </c>
      <c r="F28" s="269" t="s">
        <v>144</v>
      </c>
      <c r="G28" s="494" t="s">
        <v>39</v>
      </c>
      <c r="H28" s="414" t="s">
        <v>459</v>
      </c>
      <c r="I28" s="413"/>
      <c r="J28" s="414"/>
      <c r="K28" s="414"/>
      <c r="L28" s="416">
        <v>45419</v>
      </c>
      <c r="M28" s="415">
        <v>45419</v>
      </c>
      <c r="N28" s="434" t="s">
        <v>460</v>
      </c>
      <c r="O28" s="435" t="s">
        <v>62</v>
      </c>
      <c r="P28" s="435" t="s">
        <v>62</v>
      </c>
      <c r="Q28" s="548" t="s">
        <v>115</v>
      </c>
      <c r="R28" s="551">
        <v>25030</v>
      </c>
      <c r="S28" s="437">
        <v>150.18</v>
      </c>
      <c r="T28" s="437">
        <v>150.18</v>
      </c>
      <c r="U28" s="561">
        <v>0</v>
      </c>
      <c r="V28" s="441">
        <v>45421</v>
      </c>
      <c r="W28" s="417">
        <v>45421</v>
      </c>
      <c r="X28" s="437">
        <v>150.18</v>
      </c>
      <c r="Y28" s="437">
        <v>0</v>
      </c>
      <c r="Z28" s="424" t="s">
        <v>14</v>
      </c>
      <c r="AA28" s="568" t="s">
        <v>39</v>
      </c>
      <c r="AB28" s="426" t="s">
        <v>382</v>
      </c>
      <c r="AC28" s="423"/>
      <c r="AD28" s="424"/>
      <c r="AE28" s="425">
        <v>0</v>
      </c>
      <c r="AF28" s="426"/>
      <c r="AG28" s="429">
        <v>150.18</v>
      </c>
      <c r="AH28" s="429">
        <v>0</v>
      </c>
      <c r="AI28" s="415" t="s">
        <v>104</v>
      </c>
    </row>
    <row r="29" spans="1:36" s="172" customFormat="1" ht="31" customHeight="1" x14ac:dyDescent="0.25">
      <c r="A29" s="316"/>
      <c r="B29" s="288"/>
      <c r="C29" s="494" t="s">
        <v>431</v>
      </c>
      <c r="D29" s="495" t="s">
        <v>237</v>
      </c>
      <c r="E29" s="413" t="s">
        <v>380</v>
      </c>
      <c r="F29" s="269" t="s">
        <v>144</v>
      </c>
      <c r="G29" s="494" t="s">
        <v>39</v>
      </c>
      <c r="H29" s="414" t="s">
        <v>461</v>
      </c>
      <c r="I29" s="413"/>
      <c r="J29" s="414"/>
      <c r="K29" s="414"/>
      <c r="L29" s="416">
        <v>45425</v>
      </c>
      <c r="M29" s="415">
        <v>45425</v>
      </c>
      <c r="N29" s="434" t="s">
        <v>462</v>
      </c>
      <c r="O29" s="435" t="s">
        <v>463</v>
      </c>
      <c r="P29" s="435" t="s">
        <v>123</v>
      </c>
      <c r="Q29" s="548" t="s">
        <v>115</v>
      </c>
      <c r="R29" s="553">
        <v>47190</v>
      </c>
      <c r="S29" s="437">
        <v>278.42099999999999</v>
      </c>
      <c r="T29" s="437">
        <v>278.42099999999999</v>
      </c>
      <c r="U29" s="561">
        <v>0</v>
      </c>
      <c r="V29" s="441">
        <v>45436</v>
      </c>
      <c r="W29" s="417">
        <v>45436</v>
      </c>
      <c r="X29" s="437">
        <v>278.42099999999999</v>
      </c>
      <c r="Y29" s="437">
        <v>0</v>
      </c>
      <c r="Z29" s="424" t="s">
        <v>14</v>
      </c>
      <c r="AA29" s="568" t="s">
        <v>39</v>
      </c>
      <c r="AB29" s="426" t="s">
        <v>382</v>
      </c>
      <c r="AC29" s="423"/>
      <c r="AD29" s="424"/>
      <c r="AE29" s="425">
        <v>0</v>
      </c>
      <c r="AF29" s="426"/>
      <c r="AG29" s="429">
        <v>278.42099999999999</v>
      </c>
      <c r="AH29" s="429">
        <v>0</v>
      </c>
      <c r="AI29" s="415" t="s">
        <v>104</v>
      </c>
      <c r="AJ29" s="536"/>
    </row>
    <row r="30" spans="1:36" s="172" customFormat="1" ht="31" customHeight="1" x14ac:dyDescent="0.25">
      <c r="A30" s="316"/>
      <c r="B30" s="288"/>
      <c r="C30" s="494" t="s">
        <v>431</v>
      </c>
      <c r="D30" s="495" t="s">
        <v>238</v>
      </c>
      <c r="E30" s="413" t="s">
        <v>380</v>
      </c>
      <c r="F30" s="269" t="s">
        <v>144</v>
      </c>
      <c r="G30" s="494" t="s">
        <v>39</v>
      </c>
      <c r="H30" s="414" t="s">
        <v>465</v>
      </c>
      <c r="I30" s="413"/>
      <c r="J30" s="414"/>
      <c r="K30" s="414"/>
      <c r="L30" s="416">
        <v>45422</v>
      </c>
      <c r="M30" s="415">
        <v>45422</v>
      </c>
      <c r="N30" s="434" t="s">
        <v>464</v>
      </c>
      <c r="O30" s="435" t="s">
        <v>117</v>
      </c>
      <c r="P30" s="435" t="s">
        <v>123</v>
      </c>
      <c r="Q30" s="548" t="s">
        <v>115</v>
      </c>
      <c r="R30" s="553">
        <v>82280</v>
      </c>
      <c r="S30" s="437">
        <v>493.68</v>
      </c>
      <c r="T30" s="437">
        <v>493.68</v>
      </c>
      <c r="U30" s="561">
        <v>0</v>
      </c>
      <c r="V30" s="441">
        <v>45424</v>
      </c>
      <c r="W30" s="417">
        <v>45424</v>
      </c>
      <c r="X30" s="437">
        <v>493.68</v>
      </c>
      <c r="Y30" s="437">
        <v>0</v>
      </c>
      <c r="Z30" s="424" t="s">
        <v>14</v>
      </c>
      <c r="AA30" s="568" t="s">
        <v>39</v>
      </c>
      <c r="AB30" s="426" t="s">
        <v>382</v>
      </c>
      <c r="AC30" s="423"/>
      <c r="AD30" s="424"/>
      <c r="AE30" s="425">
        <v>0</v>
      </c>
      <c r="AF30" s="426"/>
      <c r="AG30" s="429">
        <v>493.68</v>
      </c>
      <c r="AH30" s="429">
        <v>0</v>
      </c>
      <c r="AI30" s="415" t="s">
        <v>104</v>
      </c>
    </row>
    <row r="31" spans="1:36" s="172" customFormat="1" ht="31" customHeight="1" x14ac:dyDescent="0.25">
      <c r="A31" s="316"/>
      <c r="B31" s="288"/>
      <c r="C31" s="494" t="s">
        <v>431</v>
      </c>
      <c r="D31" s="495" t="s">
        <v>239</v>
      </c>
      <c r="E31" s="413" t="s">
        <v>380</v>
      </c>
      <c r="F31" s="269" t="s">
        <v>144</v>
      </c>
      <c r="G31" s="494" t="s">
        <v>39</v>
      </c>
      <c r="H31" s="414" t="s">
        <v>466</v>
      </c>
      <c r="I31" s="413"/>
      <c r="J31" s="414"/>
      <c r="K31" s="414"/>
      <c r="L31" s="416">
        <v>45420</v>
      </c>
      <c r="M31" s="415">
        <v>45420</v>
      </c>
      <c r="N31" s="434" t="s">
        <v>467</v>
      </c>
      <c r="O31" s="435" t="s">
        <v>117</v>
      </c>
      <c r="P31" s="435" t="s">
        <v>123</v>
      </c>
      <c r="Q31" s="548" t="s">
        <v>115</v>
      </c>
      <c r="R31" s="553">
        <v>52360</v>
      </c>
      <c r="S31" s="437">
        <v>308.92399999999998</v>
      </c>
      <c r="T31" s="437">
        <v>308.92399999999998</v>
      </c>
      <c r="U31" s="561">
        <v>0</v>
      </c>
      <c r="V31" s="441">
        <v>45422</v>
      </c>
      <c r="W31" s="417">
        <v>45422</v>
      </c>
      <c r="X31" s="437">
        <v>308.92399999999998</v>
      </c>
      <c r="Y31" s="437">
        <v>0</v>
      </c>
      <c r="Z31" s="424" t="s">
        <v>14</v>
      </c>
      <c r="AA31" s="568" t="s">
        <v>39</v>
      </c>
      <c r="AB31" s="426" t="s">
        <v>382</v>
      </c>
      <c r="AC31" s="423"/>
      <c r="AD31" s="424"/>
      <c r="AE31" s="425">
        <v>0</v>
      </c>
      <c r="AF31" s="426"/>
      <c r="AG31" s="429">
        <v>308.92399999999998</v>
      </c>
      <c r="AH31" s="429">
        <v>0</v>
      </c>
      <c r="AI31" s="415" t="s">
        <v>104</v>
      </c>
    </row>
    <row r="32" spans="1:36" s="172" customFormat="1" ht="31" customHeight="1" x14ac:dyDescent="0.25">
      <c r="A32" s="316"/>
      <c r="B32" s="288"/>
      <c r="C32" s="494" t="s">
        <v>431</v>
      </c>
      <c r="D32" s="495" t="s">
        <v>240</v>
      </c>
      <c r="E32" s="413" t="s">
        <v>380</v>
      </c>
      <c r="F32" s="269" t="s">
        <v>144</v>
      </c>
      <c r="G32" s="494" t="s">
        <v>39</v>
      </c>
      <c r="H32" s="414" t="s">
        <v>469</v>
      </c>
      <c r="I32" s="413"/>
      <c r="J32" s="414"/>
      <c r="K32" s="414"/>
      <c r="L32" s="416">
        <v>45421</v>
      </c>
      <c r="M32" s="415">
        <v>45421</v>
      </c>
      <c r="N32" s="434" t="s">
        <v>468</v>
      </c>
      <c r="O32" s="435" t="s">
        <v>62</v>
      </c>
      <c r="P32" s="435" t="s">
        <v>62</v>
      </c>
      <c r="Q32" s="548" t="s">
        <v>115</v>
      </c>
      <c r="R32" s="553">
        <v>4136</v>
      </c>
      <c r="S32" s="437">
        <v>24.4024</v>
      </c>
      <c r="T32" s="437">
        <v>24.4024</v>
      </c>
      <c r="U32" s="561">
        <v>0</v>
      </c>
      <c r="V32" s="441">
        <v>45422</v>
      </c>
      <c r="W32" s="417">
        <v>45422</v>
      </c>
      <c r="X32" s="437">
        <v>24.4024</v>
      </c>
      <c r="Y32" s="437">
        <v>0</v>
      </c>
      <c r="Z32" s="424" t="s">
        <v>14</v>
      </c>
      <c r="AA32" s="568" t="s">
        <v>39</v>
      </c>
      <c r="AB32" s="426" t="s">
        <v>382</v>
      </c>
      <c r="AC32" s="423"/>
      <c r="AD32" s="424"/>
      <c r="AE32" s="425">
        <v>0</v>
      </c>
      <c r="AF32" s="426"/>
      <c r="AG32" s="429">
        <v>24.4024</v>
      </c>
      <c r="AH32" s="429">
        <v>0</v>
      </c>
      <c r="AI32" s="415" t="s">
        <v>104</v>
      </c>
    </row>
    <row r="33" spans="1:35" s="172" customFormat="1" ht="31" customHeight="1" x14ac:dyDescent="0.25">
      <c r="A33" s="316"/>
      <c r="B33" s="288"/>
      <c r="C33" s="494" t="s">
        <v>431</v>
      </c>
      <c r="D33" s="495" t="s">
        <v>241</v>
      </c>
      <c r="E33" s="413" t="s">
        <v>380</v>
      </c>
      <c r="F33" s="269" t="s">
        <v>144</v>
      </c>
      <c r="G33" s="494" t="s">
        <v>39</v>
      </c>
      <c r="H33" s="414" t="s">
        <v>470</v>
      </c>
      <c r="I33" s="413"/>
      <c r="J33" s="414"/>
      <c r="K33" s="414"/>
      <c r="L33" s="416">
        <v>45421</v>
      </c>
      <c r="M33" s="415">
        <v>45421</v>
      </c>
      <c r="N33" s="434" t="s">
        <v>471</v>
      </c>
      <c r="O33" s="435" t="s">
        <v>62</v>
      </c>
      <c r="P33" s="435" t="s">
        <v>62</v>
      </c>
      <c r="Q33" s="548" t="s">
        <v>115</v>
      </c>
      <c r="R33" s="553">
        <v>14421</v>
      </c>
      <c r="S33" s="437">
        <v>85.0839</v>
      </c>
      <c r="T33" s="437">
        <v>85.0839</v>
      </c>
      <c r="U33" s="561">
        <v>0</v>
      </c>
      <c r="V33" s="441">
        <v>45423</v>
      </c>
      <c r="W33" s="417">
        <v>45423</v>
      </c>
      <c r="X33" s="437">
        <v>85.0839</v>
      </c>
      <c r="Y33" s="437">
        <v>0</v>
      </c>
      <c r="Z33" s="424" t="s">
        <v>14</v>
      </c>
      <c r="AA33" s="568" t="s">
        <v>39</v>
      </c>
      <c r="AB33" s="426" t="s">
        <v>382</v>
      </c>
      <c r="AC33" s="423"/>
      <c r="AD33" s="424"/>
      <c r="AE33" s="425">
        <v>0</v>
      </c>
      <c r="AF33" s="426"/>
      <c r="AG33" s="429">
        <v>85.0839</v>
      </c>
      <c r="AH33" s="429">
        <v>0</v>
      </c>
      <c r="AI33" s="415" t="s">
        <v>104</v>
      </c>
    </row>
    <row r="34" spans="1:35" s="172" customFormat="1" ht="31" customHeight="1" x14ac:dyDescent="0.25">
      <c r="A34" s="316"/>
      <c r="B34" s="288"/>
      <c r="C34" s="494" t="s">
        <v>431</v>
      </c>
      <c r="D34" s="495" t="s">
        <v>242</v>
      </c>
      <c r="E34" s="413" t="s">
        <v>380</v>
      </c>
      <c r="F34" s="269" t="s">
        <v>144</v>
      </c>
      <c r="G34" s="494" t="s">
        <v>39</v>
      </c>
      <c r="H34" s="414" t="s">
        <v>472</v>
      </c>
      <c r="I34" s="413"/>
      <c r="J34" s="414"/>
      <c r="K34" s="414"/>
      <c r="L34" s="416">
        <v>45417</v>
      </c>
      <c r="M34" s="415">
        <v>45417</v>
      </c>
      <c r="N34" s="434" t="s">
        <v>473</v>
      </c>
      <c r="O34" s="435" t="s">
        <v>62</v>
      </c>
      <c r="P34" s="435" t="s">
        <v>62</v>
      </c>
      <c r="Q34" s="548" t="s">
        <v>115</v>
      </c>
      <c r="R34" s="553">
        <v>8873</v>
      </c>
      <c r="S34" s="437">
        <v>53.238</v>
      </c>
      <c r="T34" s="437">
        <v>53.238</v>
      </c>
      <c r="U34" s="561">
        <v>0</v>
      </c>
      <c r="V34" s="441">
        <v>45420</v>
      </c>
      <c r="W34" s="417">
        <v>45420</v>
      </c>
      <c r="X34" s="437">
        <v>53.238</v>
      </c>
      <c r="Y34" s="437">
        <v>0</v>
      </c>
      <c r="Z34" s="424" t="s">
        <v>14</v>
      </c>
      <c r="AA34" s="568" t="s">
        <v>39</v>
      </c>
      <c r="AB34" s="426" t="s">
        <v>382</v>
      </c>
      <c r="AC34" s="423"/>
      <c r="AD34" s="424"/>
      <c r="AE34" s="425">
        <v>0</v>
      </c>
      <c r="AF34" s="426"/>
      <c r="AG34" s="429">
        <v>53.238</v>
      </c>
      <c r="AH34" s="429">
        <v>0</v>
      </c>
      <c r="AI34" s="415" t="s">
        <v>104</v>
      </c>
    </row>
    <row r="35" spans="1:35" s="172" customFormat="1" ht="31" customHeight="1" x14ac:dyDescent="0.25">
      <c r="A35" s="316"/>
      <c r="B35" s="288"/>
      <c r="C35" s="494" t="s">
        <v>431</v>
      </c>
      <c r="D35" s="495" t="s">
        <v>243</v>
      </c>
      <c r="E35" s="413" t="s">
        <v>380</v>
      </c>
      <c r="F35" s="269" t="s">
        <v>144</v>
      </c>
      <c r="G35" s="494" t="s">
        <v>39</v>
      </c>
      <c r="H35" s="414" t="s">
        <v>475</v>
      </c>
      <c r="I35" s="413"/>
      <c r="J35" s="414"/>
      <c r="K35" s="414"/>
      <c r="L35" s="416">
        <v>45419</v>
      </c>
      <c r="M35" s="415">
        <v>45419</v>
      </c>
      <c r="N35" s="434" t="s">
        <v>474</v>
      </c>
      <c r="O35" s="435" t="s">
        <v>62</v>
      </c>
      <c r="P35" s="435" t="s">
        <v>62</v>
      </c>
      <c r="Q35" s="548" t="s">
        <v>115</v>
      </c>
      <c r="R35" s="553">
        <v>4706</v>
      </c>
      <c r="S35" s="437">
        <v>28.236000000000001</v>
      </c>
      <c r="T35" s="437">
        <v>28.236000000000001</v>
      </c>
      <c r="U35" s="561">
        <v>0</v>
      </c>
      <c r="V35" s="441">
        <v>45419</v>
      </c>
      <c r="W35" s="417">
        <v>45419</v>
      </c>
      <c r="X35" s="437">
        <v>28.236000000000001</v>
      </c>
      <c r="Y35" s="437">
        <v>0</v>
      </c>
      <c r="Z35" s="424" t="s">
        <v>14</v>
      </c>
      <c r="AA35" s="568" t="s">
        <v>39</v>
      </c>
      <c r="AB35" s="426" t="s">
        <v>382</v>
      </c>
      <c r="AC35" s="423"/>
      <c r="AD35" s="424"/>
      <c r="AE35" s="425">
        <v>0</v>
      </c>
      <c r="AF35" s="426"/>
      <c r="AG35" s="429">
        <v>28.236000000000001</v>
      </c>
      <c r="AH35" s="429">
        <v>0</v>
      </c>
      <c r="AI35" s="415" t="s">
        <v>104</v>
      </c>
    </row>
    <row r="36" spans="1:35" s="172" customFormat="1" ht="31" customHeight="1" x14ac:dyDescent="0.25">
      <c r="A36" s="316"/>
      <c r="B36" s="288"/>
      <c r="C36" s="494" t="s">
        <v>431</v>
      </c>
      <c r="D36" s="495" t="s">
        <v>244</v>
      </c>
      <c r="E36" s="413" t="s">
        <v>380</v>
      </c>
      <c r="F36" s="269" t="s">
        <v>144</v>
      </c>
      <c r="G36" s="494" t="s">
        <v>39</v>
      </c>
      <c r="H36" s="414" t="s">
        <v>476</v>
      </c>
      <c r="I36" s="413"/>
      <c r="J36" s="414"/>
      <c r="K36" s="414"/>
      <c r="L36" s="416">
        <v>45415</v>
      </c>
      <c r="M36" s="415">
        <v>45415</v>
      </c>
      <c r="N36" s="434" t="s">
        <v>477</v>
      </c>
      <c r="O36" s="435" t="s">
        <v>117</v>
      </c>
      <c r="P36" s="435" t="s">
        <v>123</v>
      </c>
      <c r="Q36" s="548" t="s">
        <v>115</v>
      </c>
      <c r="R36" s="553">
        <v>67100</v>
      </c>
      <c r="S36" s="437">
        <v>409.31</v>
      </c>
      <c r="T36" s="437">
        <v>409.31</v>
      </c>
      <c r="U36" s="561">
        <v>0</v>
      </c>
      <c r="V36" s="441">
        <v>45415</v>
      </c>
      <c r="W36" s="417">
        <v>45415</v>
      </c>
      <c r="X36" s="437">
        <v>409.31</v>
      </c>
      <c r="Y36" s="437">
        <v>0</v>
      </c>
      <c r="Z36" s="424" t="s">
        <v>14</v>
      </c>
      <c r="AA36" s="568" t="s">
        <v>39</v>
      </c>
      <c r="AB36" s="426" t="s">
        <v>382</v>
      </c>
      <c r="AC36" s="423"/>
      <c r="AD36" s="424"/>
      <c r="AE36" s="425">
        <v>0</v>
      </c>
      <c r="AF36" s="426"/>
      <c r="AG36" s="429">
        <v>409.31</v>
      </c>
      <c r="AH36" s="429">
        <v>0</v>
      </c>
      <c r="AI36" s="415" t="s">
        <v>104</v>
      </c>
    </row>
    <row r="37" spans="1:35" s="172" customFormat="1" ht="31" customHeight="1" x14ac:dyDescent="0.25">
      <c r="A37" s="316"/>
      <c r="B37" s="288"/>
      <c r="C37" s="494" t="s">
        <v>431</v>
      </c>
      <c r="D37" s="495" t="s">
        <v>245</v>
      </c>
      <c r="E37" s="413" t="s">
        <v>380</v>
      </c>
      <c r="F37" s="269" t="s">
        <v>144</v>
      </c>
      <c r="G37" s="494" t="s">
        <v>39</v>
      </c>
      <c r="H37" s="414" t="s">
        <v>479</v>
      </c>
      <c r="I37" s="413"/>
      <c r="J37" s="414"/>
      <c r="K37" s="414"/>
      <c r="L37" s="416">
        <v>45417</v>
      </c>
      <c r="M37" s="415">
        <v>45417</v>
      </c>
      <c r="N37" s="434" t="s">
        <v>478</v>
      </c>
      <c r="O37" s="435" t="s">
        <v>117</v>
      </c>
      <c r="P37" s="435" t="s">
        <v>123</v>
      </c>
      <c r="Q37" s="548" t="s">
        <v>115</v>
      </c>
      <c r="R37" s="553">
        <v>71412</v>
      </c>
      <c r="S37" s="437">
        <v>428.47200000000004</v>
      </c>
      <c r="T37" s="437">
        <v>428.47200000000004</v>
      </c>
      <c r="U37" s="561">
        <v>0</v>
      </c>
      <c r="V37" s="441">
        <v>45417</v>
      </c>
      <c r="W37" s="417">
        <v>45417</v>
      </c>
      <c r="X37" s="437">
        <v>428.47200000000004</v>
      </c>
      <c r="Y37" s="437">
        <v>0</v>
      </c>
      <c r="Z37" s="424" t="s">
        <v>14</v>
      </c>
      <c r="AA37" s="568" t="s">
        <v>39</v>
      </c>
      <c r="AB37" s="426" t="s">
        <v>382</v>
      </c>
      <c r="AC37" s="423"/>
      <c r="AD37" s="424"/>
      <c r="AE37" s="425">
        <v>0</v>
      </c>
      <c r="AF37" s="426"/>
      <c r="AG37" s="429">
        <v>428.47200000000004</v>
      </c>
      <c r="AH37" s="429">
        <v>0</v>
      </c>
      <c r="AI37" s="415" t="s">
        <v>104</v>
      </c>
    </row>
    <row r="38" spans="1:35" s="172" customFormat="1" ht="31" customHeight="1" x14ac:dyDescent="0.25">
      <c r="A38" s="316"/>
      <c r="B38" s="288"/>
      <c r="C38" s="494" t="s">
        <v>431</v>
      </c>
      <c r="D38" s="495" t="s">
        <v>246</v>
      </c>
      <c r="E38" s="413" t="s">
        <v>380</v>
      </c>
      <c r="F38" s="269" t="s">
        <v>144</v>
      </c>
      <c r="G38" s="494" t="s">
        <v>39</v>
      </c>
      <c r="H38" s="414" t="s">
        <v>482</v>
      </c>
      <c r="I38" s="413"/>
      <c r="J38" s="414"/>
      <c r="K38" s="414"/>
      <c r="L38" s="416">
        <v>45418</v>
      </c>
      <c r="M38" s="415">
        <v>45418</v>
      </c>
      <c r="N38" s="434" t="s">
        <v>480</v>
      </c>
      <c r="O38" s="435" t="s">
        <v>481</v>
      </c>
      <c r="P38" s="435" t="s">
        <v>60</v>
      </c>
      <c r="Q38" s="548" t="s">
        <v>115</v>
      </c>
      <c r="R38" s="553">
        <v>5380</v>
      </c>
      <c r="S38" s="437">
        <v>32.28</v>
      </c>
      <c r="T38" s="437">
        <v>32.28</v>
      </c>
      <c r="U38" s="561">
        <v>0</v>
      </c>
      <c r="V38" s="441">
        <v>45418</v>
      </c>
      <c r="W38" s="417">
        <v>45418</v>
      </c>
      <c r="X38" s="437">
        <v>32.28</v>
      </c>
      <c r="Y38" s="437">
        <v>0</v>
      </c>
      <c r="Z38" s="424" t="s">
        <v>14</v>
      </c>
      <c r="AA38" s="568" t="s">
        <v>39</v>
      </c>
      <c r="AB38" s="426" t="s">
        <v>382</v>
      </c>
      <c r="AC38" s="423"/>
      <c r="AD38" s="424"/>
      <c r="AE38" s="425">
        <v>0</v>
      </c>
      <c r="AF38" s="426"/>
      <c r="AG38" s="429">
        <v>32.28</v>
      </c>
      <c r="AH38" s="429">
        <v>0</v>
      </c>
      <c r="AI38" s="415" t="s">
        <v>104</v>
      </c>
    </row>
    <row r="39" spans="1:35" s="172" customFormat="1" ht="31" customHeight="1" x14ac:dyDescent="0.25">
      <c r="A39" s="316"/>
      <c r="B39" s="288"/>
      <c r="C39" s="494" t="s">
        <v>431</v>
      </c>
      <c r="D39" s="495" t="s">
        <v>247</v>
      </c>
      <c r="E39" s="413" t="s">
        <v>380</v>
      </c>
      <c r="F39" s="269" t="s">
        <v>144</v>
      </c>
      <c r="G39" s="494" t="s">
        <v>39</v>
      </c>
      <c r="H39" s="414" t="s">
        <v>484</v>
      </c>
      <c r="I39" s="413"/>
      <c r="J39" s="414"/>
      <c r="K39" s="414"/>
      <c r="L39" s="416">
        <v>45419</v>
      </c>
      <c r="M39" s="415">
        <v>45419</v>
      </c>
      <c r="N39" s="434" t="s">
        <v>483</v>
      </c>
      <c r="O39" s="435" t="s">
        <v>62</v>
      </c>
      <c r="P39" s="435" t="s">
        <v>62</v>
      </c>
      <c r="Q39" s="548" t="s">
        <v>115</v>
      </c>
      <c r="R39" s="553">
        <v>10890</v>
      </c>
      <c r="S39" s="437">
        <v>65.34</v>
      </c>
      <c r="T39" s="437">
        <v>65.34</v>
      </c>
      <c r="U39" s="561">
        <v>0</v>
      </c>
      <c r="V39" s="441">
        <v>45419</v>
      </c>
      <c r="W39" s="417">
        <v>45419</v>
      </c>
      <c r="X39" s="437">
        <v>65.34</v>
      </c>
      <c r="Y39" s="437">
        <v>0</v>
      </c>
      <c r="Z39" s="424" t="s">
        <v>14</v>
      </c>
      <c r="AA39" s="568" t="s">
        <v>39</v>
      </c>
      <c r="AB39" s="426" t="s">
        <v>382</v>
      </c>
      <c r="AC39" s="423"/>
      <c r="AD39" s="424"/>
      <c r="AE39" s="425">
        <v>0</v>
      </c>
      <c r="AF39" s="426"/>
      <c r="AG39" s="429">
        <v>65.34</v>
      </c>
      <c r="AH39" s="429">
        <v>0</v>
      </c>
      <c r="AI39" s="415" t="s">
        <v>104</v>
      </c>
    </row>
    <row r="40" spans="1:35" s="172" customFormat="1" ht="31" customHeight="1" x14ac:dyDescent="0.25">
      <c r="A40" s="316"/>
      <c r="B40" s="288"/>
      <c r="C40" s="494" t="s">
        <v>431</v>
      </c>
      <c r="D40" s="495" t="s">
        <v>248</v>
      </c>
      <c r="E40" s="413" t="s">
        <v>380</v>
      </c>
      <c r="F40" s="269" t="s">
        <v>144</v>
      </c>
      <c r="G40" s="494" t="s">
        <v>39</v>
      </c>
      <c r="H40" s="414" t="s">
        <v>486</v>
      </c>
      <c r="I40" s="413"/>
      <c r="J40" s="414"/>
      <c r="K40" s="414"/>
      <c r="L40" s="416">
        <v>45416</v>
      </c>
      <c r="M40" s="415">
        <v>45416</v>
      </c>
      <c r="N40" s="434" t="s">
        <v>485</v>
      </c>
      <c r="O40" s="435" t="s">
        <v>62</v>
      </c>
      <c r="P40" s="435" t="s">
        <v>62</v>
      </c>
      <c r="Q40" s="548" t="s">
        <v>115</v>
      </c>
      <c r="R40" s="553">
        <v>16300</v>
      </c>
      <c r="S40" s="437">
        <v>99.43</v>
      </c>
      <c r="T40" s="437">
        <v>99.43</v>
      </c>
      <c r="U40" s="561">
        <v>0</v>
      </c>
      <c r="V40" s="441">
        <v>45416</v>
      </c>
      <c r="W40" s="417">
        <v>45416</v>
      </c>
      <c r="X40" s="437">
        <v>99.43</v>
      </c>
      <c r="Y40" s="437">
        <v>0</v>
      </c>
      <c r="Z40" s="424" t="s">
        <v>14</v>
      </c>
      <c r="AA40" s="568" t="s">
        <v>39</v>
      </c>
      <c r="AB40" s="426" t="s">
        <v>382</v>
      </c>
      <c r="AC40" s="423"/>
      <c r="AD40" s="424"/>
      <c r="AE40" s="425">
        <v>0</v>
      </c>
      <c r="AF40" s="426"/>
      <c r="AG40" s="429">
        <v>99.43</v>
      </c>
      <c r="AH40" s="429">
        <v>0</v>
      </c>
      <c r="AI40" s="415" t="s">
        <v>104</v>
      </c>
    </row>
    <row r="41" spans="1:35" s="172" customFormat="1" ht="31" customHeight="1" x14ac:dyDescent="0.25">
      <c r="A41" s="316"/>
      <c r="B41" s="288"/>
      <c r="C41" s="494" t="s">
        <v>431</v>
      </c>
      <c r="D41" s="495" t="s">
        <v>249</v>
      </c>
      <c r="E41" s="413" t="s">
        <v>380</v>
      </c>
      <c r="F41" s="269" t="s">
        <v>144</v>
      </c>
      <c r="G41" s="494" t="s">
        <v>39</v>
      </c>
      <c r="H41" s="414" t="s">
        <v>488</v>
      </c>
      <c r="I41" s="413"/>
      <c r="J41" s="414"/>
      <c r="K41" s="414"/>
      <c r="L41" s="416">
        <v>45418</v>
      </c>
      <c r="M41" s="415">
        <v>45418</v>
      </c>
      <c r="N41" s="434" t="s">
        <v>487</v>
      </c>
      <c r="O41" s="435" t="s">
        <v>62</v>
      </c>
      <c r="P41" s="435" t="s">
        <v>62</v>
      </c>
      <c r="Q41" s="548" t="s">
        <v>115</v>
      </c>
      <c r="R41" s="553">
        <v>14135</v>
      </c>
      <c r="S41" s="437">
        <v>84.81</v>
      </c>
      <c r="T41" s="437">
        <v>84.81</v>
      </c>
      <c r="U41" s="561">
        <v>0</v>
      </c>
      <c r="V41" s="441">
        <v>45418</v>
      </c>
      <c r="W41" s="417">
        <v>45418</v>
      </c>
      <c r="X41" s="437">
        <v>84.81</v>
      </c>
      <c r="Y41" s="437">
        <v>0</v>
      </c>
      <c r="Z41" s="424" t="s">
        <v>14</v>
      </c>
      <c r="AA41" s="568" t="s">
        <v>39</v>
      </c>
      <c r="AB41" s="426" t="s">
        <v>382</v>
      </c>
      <c r="AC41" s="423"/>
      <c r="AD41" s="424"/>
      <c r="AE41" s="425">
        <v>0</v>
      </c>
      <c r="AF41" s="426"/>
      <c r="AG41" s="429">
        <v>84.81</v>
      </c>
      <c r="AH41" s="429">
        <v>0</v>
      </c>
      <c r="AI41" s="415" t="s">
        <v>104</v>
      </c>
    </row>
    <row r="42" spans="1:35" s="172" customFormat="1" ht="31" customHeight="1" x14ac:dyDescent="0.25">
      <c r="A42" s="316"/>
      <c r="B42" s="288"/>
      <c r="C42" s="494" t="s">
        <v>431</v>
      </c>
      <c r="D42" s="495" t="s">
        <v>250</v>
      </c>
      <c r="E42" s="413" t="s">
        <v>380</v>
      </c>
      <c r="F42" s="269" t="s">
        <v>144</v>
      </c>
      <c r="G42" s="494" t="s">
        <v>39</v>
      </c>
      <c r="H42" s="414" t="s">
        <v>490</v>
      </c>
      <c r="I42" s="413"/>
      <c r="J42" s="414"/>
      <c r="K42" s="414"/>
      <c r="L42" s="416">
        <v>45415</v>
      </c>
      <c r="M42" s="415">
        <v>45415</v>
      </c>
      <c r="N42" s="434" t="s">
        <v>489</v>
      </c>
      <c r="O42" s="435" t="s">
        <v>62</v>
      </c>
      <c r="P42" s="435" t="s">
        <v>62</v>
      </c>
      <c r="Q42" s="548" t="s">
        <v>115</v>
      </c>
      <c r="R42" s="553">
        <v>3500</v>
      </c>
      <c r="S42" s="437">
        <v>21.35</v>
      </c>
      <c r="T42" s="437">
        <v>21.35</v>
      </c>
      <c r="U42" s="561">
        <v>0</v>
      </c>
      <c r="V42" s="441">
        <v>45415</v>
      </c>
      <c r="W42" s="417">
        <v>45415</v>
      </c>
      <c r="X42" s="437">
        <v>21.35</v>
      </c>
      <c r="Y42" s="437">
        <v>0</v>
      </c>
      <c r="Z42" s="424" t="s">
        <v>14</v>
      </c>
      <c r="AA42" s="568" t="s">
        <v>39</v>
      </c>
      <c r="AB42" s="426" t="s">
        <v>382</v>
      </c>
      <c r="AC42" s="423"/>
      <c r="AD42" s="424"/>
      <c r="AE42" s="425">
        <v>0</v>
      </c>
      <c r="AF42" s="426"/>
      <c r="AG42" s="429">
        <v>21.35</v>
      </c>
      <c r="AH42" s="429">
        <v>0</v>
      </c>
      <c r="AI42" s="415" t="s">
        <v>104</v>
      </c>
    </row>
    <row r="43" spans="1:35" s="172" customFormat="1" ht="31" customHeight="1" x14ac:dyDescent="0.25">
      <c r="A43" s="316"/>
      <c r="B43" s="288"/>
      <c r="C43" s="494" t="s">
        <v>431</v>
      </c>
      <c r="D43" s="495" t="s">
        <v>251</v>
      </c>
      <c r="E43" s="413" t="s">
        <v>380</v>
      </c>
      <c r="F43" s="269" t="s">
        <v>144</v>
      </c>
      <c r="G43" s="494" t="s">
        <v>39</v>
      </c>
      <c r="H43" s="414" t="s">
        <v>491</v>
      </c>
      <c r="I43" s="413"/>
      <c r="J43" s="414"/>
      <c r="K43" s="414"/>
      <c r="L43" s="416">
        <v>45420</v>
      </c>
      <c r="M43" s="415">
        <v>45420</v>
      </c>
      <c r="N43" s="434" t="s">
        <v>487</v>
      </c>
      <c r="O43" s="435" t="s">
        <v>62</v>
      </c>
      <c r="P43" s="435" t="s">
        <v>62</v>
      </c>
      <c r="Q43" s="548" t="s">
        <v>115</v>
      </c>
      <c r="R43" s="553">
        <v>13186</v>
      </c>
      <c r="S43" s="437">
        <v>79.116</v>
      </c>
      <c r="T43" s="437">
        <v>79.116</v>
      </c>
      <c r="U43" s="561">
        <v>0</v>
      </c>
      <c r="V43" s="441">
        <v>45420</v>
      </c>
      <c r="W43" s="417">
        <v>45420</v>
      </c>
      <c r="X43" s="437">
        <v>79.116</v>
      </c>
      <c r="Y43" s="437">
        <v>0</v>
      </c>
      <c r="Z43" s="424" t="s">
        <v>14</v>
      </c>
      <c r="AA43" s="568" t="s">
        <v>39</v>
      </c>
      <c r="AB43" s="426" t="s">
        <v>382</v>
      </c>
      <c r="AC43" s="423"/>
      <c r="AD43" s="424"/>
      <c r="AE43" s="425">
        <v>0</v>
      </c>
      <c r="AF43" s="426"/>
      <c r="AG43" s="429">
        <v>79.116</v>
      </c>
      <c r="AH43" s="429">
        <v>0</v>
      </c>
      <c r="AI43" s="415" t="s">
        <v>104</v>
      </c>
    </row>
    <row r="44" spans="1:35" s="533" customFormat="1" ht="31" customHeight="1" x14ac:dyDescent="0.25">
      <c r="A44" s="316"/>
      <c r="B44" s="288"/>
      <c r="C44" s="494" t="s">
        <v>431</v>
      </c>
      <c r="D44" s="495" t="s">
        <v>252</v>
      </c>
      <c r="E44" s="413" t="s">
        <v>380</v>
      </c>
      <c r="F44" s="269" t="s">
        <v>144</v>
      </c>
      <c r="G44" s="494" t="s">
        <v>39</v>
      </c>
      <c r="H44" s="414" t="s">
        <v>492</v>
      </c>
      <c r="I44" s="413"/>
      <c r="J44" s="414"/>
      <c r="K44" s="414"/>
      <c r="L44" s="416">
        <v>45420</v>
      </c>
      <c r="M44" s="415">
        <v>45420</v>
      </c>
      <c r="N44" s="434" t="s">
        <v>499</v>
      </c>
      <c r="O44" s="435" t="s">
        <v>62</v>
      </c>
      <c r="P44" s="435" t="s">
        <v>62</v>
      </c>
      <c r="Q44" s="548" t="s">
        <v>115</v>
      </c>
      <c r="R44" s="553">
        <v>5050</v>
      </c>
      <c r="S44" s="437">
        <v>30.3</v>
      </c>
      <c r="T44" s="437">
        <v>30.3</v>
      </c>
      <c r="U44" s="561">
        <v>0</v>
      </c>
      <c r="V44" s="441">
        <v>45420</v>
      </c>
      <c r="W44" s="417">
        <v>45420</v>
      </c>
      <c r="X44" s="437">
        <v>30.3</v>
      </c>
      <c r="Y44" s="437">
        <v>0</v>
      </c>
      <c r="Z44" s="424" t="s">
        <v>14</v>
      </c>
      <c r="AA44" s="568" t="s">
        <v>39</v>
      </c>
      <c r="AB44" s="426" t="s">
        <v>382</v>
      </c>
      <c r="AC44" s="423"/>
      <c r="AD44" s="424"/>
      <c r="AE44" s="425">
        <v>0</v>
      </c>
      <c r="AF44" s="426"/>
      <c r="AG44" s="429">
        <v>30.3</v>
      </c>
      <c r="AH44" s="429">
        <v>0</v>
      </c>
      <c r="AI44" s="415" t="s">
        <v>104</v>
      </c>
    </row>
    <row r="45" spans="1:35" s="172" customFormat="1" ht="31" customHeight="1" x14ac:dyDescent="0.25">
      <c r="A45" s="316"/>
      <c r="B45" s="288"/>
      <c r="C45" s="494" t="s">
        <v>431</v>
      </c>
      <c r="D45" s="495" t="s">
        <v>253</v>
      </c>
      <c r="E45" s="413" t="s">
        <v>380</v>
      </c>
      <c r="F45" s="269" t="s">
        <v>144</v>
      </c>
      <c r="G45" s="494" t="s">
        <v>39</v>
      </c>
      <c r="H45" s="414" t="s">
        <v>493</v>
      </c>
      <c r="I45" s="413"/>
      <c r="J45" s="414"/>
      <c r="K45" s="414"/>
      <c r="L45" s="416">
        <v>45356</v>
      </c>
      <c r="M45" s="415">
        <v>45356</v>
      </c>
      <c r="N45" s="434" t="s">
        <v>500</v>
      </c>
      <c r="O45" s="435" t="s">
        <v>62</v>
      </c>
      <c r="P45" s="435" t="s">
        <v>62</v>
      </c>
      <c r="Q45" s="548" t="s">
        <v>115</v>
      </c>
      <c r="R45" s="553">
        <v>18240</v>
      </c>
      <c r="S45" s="437">
        <v>109.44</v>
      </c>
      <c r="T45" s="437">
        <v>109.44</v>
      </c>
      <c r="U45" s="561">
        <v>0</v>
      </c>
      <c r="V45" s="441">
        <v>45356</v>
      </c>
      <c r="W45" s="417">
        <v>45356</v>
      </c>
      <c r="X45" s="437">
        <v>109.44</v>
      </c>
      <c r="Y45" s="437">
        <v>0</v>
      </c>
      <c r="Z45" s="424" t="s">
        <v>14</v>
      </c>
      <c r="AA45" s="568" t="s">
        <v>39</v>
      </c>
      <c r="AB45" s="426" t="s">
        <v>382</v>
      </c>
      <c r="AC45" s="423"/>
      <c r="AD45" s="424"/>
      <c r="AE45" s="425">
        <v>0</v>
      </c>
      <c r="AF45" s="426"/>
      <c r="AG45" s="429">
        <v>109.44</v>
      </c>
      <c r="AH45" s="429">
        <v>0</v>
      </c>
      <c r="AI45" s="415" t="s">
        <v>104</v>
      </c>
    </row>
    <row r="46" spans="1:35" s="172" customFormat="1" ht="31" customHeight="1" x14ac:dyDescent="0.25">
      <c r="A46" s="316"/>
      <c r="B46" s="288"/>
      <c r="C46" s="494" t="s">
        <v>431</v>
      </c>
      <c r="D46" s="495" t="s">
        <v>254</v>
      </c>
      <c r="E46" s="413" t="s">
        <v>380</v>
      </c>
      <c r="F46" s="269" t="s">
        <v>144</v>
      </c>
      <c r="G46" s="494" t="s">
        <v>39</v>
      </c>
      <c r="H46" s="414" t="s">
        <v>494</v>
      </c>
      <c r="I46" s="413"/>
      <c r="J46" s="414"/>
      <c r="K46" s="414"/>
      <c r="L46" s="416">
        <v>45423</v>
      </c>
      <c r="M46" s="415">
        <v>45423</v>
      </c>
      <c r="N46" s="434" t="s">
        <v>501</v>
      </c>
      <c r="O46" s="435" t="s">
        <v>502</v>
      </c>
      <c r="P46" s="435" t="s">
        <v>128</v>
      </c>
      <c r="Q46" s="548" t="s">
        <v>115</v>
      </c>
      <c r="R46" s="554">
        <v>21.95</v>
      </c>
      <c r="S46" s="437">
        <v>20.413499999999999</v>
      </c>
      <c r="T46" s="437">
        <v>20.413499999999999</v>
      </c>
      <c r="U46" s="561">
        <v>0</v>
      </c>
      <c r="V46" s="441">
        <v>45423</v>
      </c>
      <c r="W46" s="417">
        <v>45423</v>
      </c>
      <c r="X46" s="437">
        <v>20.413499999999999</v>
      </c>
      <c r="Y46" s="437">
        <v>0</v>
      </c>
      <c r="Z46" s="424" t="s">
        <v>14</v>
      </c>
      <c r="AA46" s="568" t="s">
        <v>39</v>
      </c>
      <c r="AB46" s="426" t="s">
        <v>382</v>
      </c>
      <c r="AC46" s="423"/>
      <c r="AD46" s="424"/>
      <c r="AE46" s="425">
        <v>0</v>
      </c>
      <c r="AF46" s="426"/>
      <c r="AG46" s="429">
        <v>20.413499999999999</v>
      </c>
      <c r="AH46" s="429">
        <v>0</v>
      </c>
      <c r="AI46" s="415" t="s">
        <v>104</v>
      </c>
    </row>
    <row r="47" spans="1:35" s="172" customFormat="1" ht="31" customHeight="1" x14ac:dyDescent="0.25">
      <c r="A47" s="316"/>
      <c r="B47" s="288"/>
      <c r="C47" s="494" t="s">
        <v>431</v>
      </c>
      <c r="D47" s="495" t="s">
        <v>255</v>
      </c>
      <c r="E47" s="413" t="s">
        <v>380</v>
      </c>
      <c r="F47" s="269" t="s">
        <v>144</v>
      </c>
      <c r="G47" s="494" t="s">
        <v>39</v>
      </c>
      <c r="H47" s="414" t="s">
        <v>495</v>
      </c>
      <c r="I47" s="413"/>
      <c r="J47" s="414"/>
      <c r="K47" s="414"/>
      <c r="L47" s="416">
        <v>45423</v>
      </c>
      <c r="M47" s="415">
        <v>45423</v>
      </c>
      <c r="N47" s="434" t="s">
        <v>501</v>
      </c>
      <c r="O47" s="435" t="s">
        <v>503</v>
      </c>
      <c r="P47" s="435" t="s">
        <v>128</v>
      </c>
      <c r="Q47" s="548" t="s">
        <v>115</v>
      </c>
      <c r="R47" s="554">
        <v>21.95</v>
      </c>
      <c r="S47" s="437">
        <v>20.413499999999999</v>
      </c>
      <c r="T47" s="437">
        <v>20.413499999999999</v>
      </c>
      <c r="U47" s="561">
        <v>0</v>
      </c>
      <c r="V47" s="441">
        <v>45423</v>
      </c>
      <c r="W47" s="417">
        <v>45423</v>
      </c>
      <c r="X47" s="437">
        <v>20.413499999999999</v>
      </c>
      <c r="Y47" s="437">
        <v>0</v>
      </c>
      <c r="Z47" s="424" t="s">
        <v>14</v>
      </c>
      <c r="AA47" s="568" t="s">
        <v>39</v>
      </c>
      <c r="AB47" s="426" t="s">
        <v>382</v>
      </c>
      <c r="AC47" s="423"/>
      <c r="AD47" s="424"/>
      <c r="AE47" s="425">
        <v>0</v>
      </c>
      <c r="AF47" s="426"/>
      <c r="AG47" s="429">
        <v>20.413499999999999</v>
      </c>
      <c r="AH47" s="429">
        <v>0</v>
      </c>
      <c r="AI47" s="415" t="s">
        <v>104</v>
      </c>
    </row>
    <row r="48" spans="1:35" s="172" customFormat="1" ht="31" customHeight="1" x14ac:dyDescent="0.25">
      <c r="A48" s="316"/>
      <c r="B48" s="288"/>
      <c r="C48" s="494" t="s">
        <v>431</v>
      </c>
      <c r="D48" s="495" t="s">
        <v>256</v>
      </c>
      <c r="E48" s="413" t="s">
        <v>380</v>
      </c>
      <c r="F48" s="269" t="s">
        <v>144</v>
      </c>
      <c r="G48" s="494" t="s">
        <v>39</v>
      </c>
      <c r="H48" s="414" t="s">
        <v>496</v>
      </c>
      <c r="I48" s="413"/>
      <c r="J48" s="414"/>
      <c r="K48" s="414"/>
      <c r="L48" s="416">
        <v>45369</v>
      </c>
      <c r="M48" s="415">
        <v>45369</v>
      </c>
      <c r="N48" s="434" t="s">
        <v>504</v>
      </c>
      <c r="O48" s="435" t="s">
        <v>481</v>
      </c>
      <c r="P48" s="435" t="s">
        <v>60</v>
      </c>
      <c r="Q48" s="548" t="s">
        <v>115</v>
      </c>
      <c r="R48" s="553">
        <v>34815</v>
      </c>
      <c r="S48" s="437">
        <v>208.89000000000001</v>
      </c>
      <c r="T48" s="437">
        <v>208.89000000000001</v>
      </c>
      <c r="U48" s="561">
        <v>0</v>
      </c>
      <c r="V48" s="441">
        <v>45369</v>
      </c>
      <c r="W48" s="417">
        <v>45369</v>
      </c>
      <c r="X48" s="437">
        <v>208.89000000000001</v>
      </c>
      <c r="Y48" s="437">
        <v>0</v>
      </c>
      <c r="Z48" s="424" t="s">
        <v>14</v>
      </c>
      <c r="AA48" s="568" t="s">
        <v>39</v>
      </c>
      <c r="AB48" s="426" t="s">
        <v>382</v>
      </c>
      <c r="AC48" s="423"/>
      <c r="AD48" s="424"/>
      <c r="AE48" s="425">
        <v>0</v>
      </c>
      <c r="AF48" s="426"/>
      <c r="AG48" s="429">
        <v>208.89000000000001</v>
      </c>
      <c r="AH48" s="429">
        <v>0</v>
      </c>
      <c r="AI48" s="415" t="s">
        <v>104</v>
      </c>
    </row>
    <row r="49" spans="1:35" s="172" customFormat="1" ht="31" customHeight="1" x14ac:dyDescent="0.25">
      <c r="A49" s="316"/>
      <c r="B49" s="288"/>
      <c r="C49" s="494" t="s">
        <v>431</v>
      </c>
      <c r="D49" s="495" t="s">
        <v>257</v>
      </c>
      <c r="E49" s="413" t="s">
        <v>380</v>
      </c>
      <c r="F49" s="269" t="s">
        <v>144</v>
      </c>
      <c r="G49" s="494" t="s">
        <v>39</v>
      </c>
      <c r="H49" s="414" t="s">
        <v>497</v>
      </c>
      <c r="I49" s="413"/>
      <c r="J49" s="414"/>
      <c r="K49" s="414"/>
      <c r="L49" s="416">
        <v>45417</v>
      </c>
      <c r="M49" s="415">
        <v>45417</v>
      </c>
      <c r="N49" s="434" t="s">
        <v>504</v>
      </c>
      <c r="O49" s="435" t="s">
        <v>481</v>
      </c>
      <c r="P49" s="435" t="s">
        <v>60</v>
      </c>
      <c r="Q49" s="548" t="s">
        <v>115</v>
      </c>
      <c r="R49" s="553">
        <v>3161</v>
      </c>
      <c r="S49" s="437">
        <v>18.966000000000001</v>
      </c>
      <c r="T49" s="437">
        <v>18.966000000000001</v>
      </c>
      <c r="U49" s="561">
        <v>0</v>
      </c>
      <c r="V49" s="441">
        <v>45417</v>
      </c>
      <c r="W49" s="417">
        <v>45417</v>
      </c>
      <c r="X49" s="437">
        <v>18.966000000000001</v>
      </c>
      <c r="Y49" s="437">
        <v>0</v>
      </c>
      <c r="Z49" s="424" t="s">
        <v>14</v>
      </c>
      <c r="AA49" s="568" t="s">
        <v>39</v>
      </c>
      <c r="AB49" s="426" t="s">
        <v>382</v>
      </c>
      <c r="AC49" s="423"/>
      <c r="AD49" s="424"/>
      <c r="AE49" s="425">
        <v>0</v>
      </c>
      <c r="AF49" s="426"/>
      <c r="AG49" s="429">
        <v>18.966000000000001</v>
      </c>
      <c r="AH49" s="429">
        <v>0</v>
      </c>
      <c r="AI49" s="415" t="s">
        <v>104</v>
      </c>
    </row>
    <row r="50" spans="1:35" s="172" customFormat="1" ht="31" customHeight="1" x14ac:dyDescent="0.25">
      <c r="A50" s="316"/>
      <c r="B50" s="288"/>
      <c r="C50" s="494" t="s">
        <v>431</v>
      </c>
      <c r="D50" s="495" t="s">
        <v>258</v>
      </c>
      <c r="E50" s="413" t="s">
        <v>380</v>
      </c>
      <c r="F50" s="269" t="s">
        <v>144</v>
      </c>
      <c r="G50" s="494" t="s">
        <v>39</v>
      </c>
      <c r="H50" s="414" t="s">
        <v>498</v>
      </c>
      <c r="I50" s="413"/>
      <c r="J50" s="414"/>
      <c r="K50" s="414"/>
      <c r="L50" s="416">
        <v>45417</v>
      </c>
      <c r="M50" s="415">
        <v>45417</v>
      </c>
      <c r="N50" s="434" t="s">
        <v>504</v>
      </c>
      <c r="O50" s="435" t="s">
        <v>481</v>
      </c>
      <c r="P50" s="435" t="s">
        <v>60</v>
      </c>
      <c r="Q50" s="548" t="s">
        <v>115</v>
      </c>
      <c r="R50" s="553">
        <v>6217</v>
      </c>
      <c r="S50" s="437">
        <v>37.302</v>
      </c>
      <c r="T50" s="437">
        <v>37.302</v>
      </c>
      <c r="U50" s="561">
        <v>0</v>
      </c>
      <c r="V50" s="441">
        <v>45417</v>
      </c>
      <c r="W50" s="417">
        <v>45417</v>
      </c>
      <c r="X50" s="437">
        <v>37.302</v>
      </c>
      <c r="Y50" s="437">
        <v>0</v>
      </c>
      <c r="Z50" s="424" t="s">
        <v>14</v>
      </c>
      <c r="AA50" s="568" t="s">
        <v>39</v>
      </c>
      <c r="AB50" s="426" t="s">
        <v>382</v>
      </c>
      <c r="AC50" s="423"/>
      <c r="AD50" s="424"/>
      <c r="AE50" s="425">
        <v>0</v>
      </c>
      <c r="AF50" s="426"/>
      <c r="AG50" s="429">
        <v>37.302</v>
      </c>
      <c r="AH50" s="429">
        <v>0</v>
      </c>
      <c r="AI50" s="415" t="s">
        <v>104</v>
      </c>
    </row>
    <row r="51" spans="1:35" s="172" customFormat="1" ht="31" customHeight="1" x14ac:dyDescent="0.25">
      <c r="A51" s="316"/>
      <c r="B51" s="288"/>
      <c r="C51" s="494" t="s">
        <v>431</v>
      </c>
      <c r="D51" s="495" t="s">
        <v>259</v>
      </c>
      <c r="E51" s="413" t="s">
        <v>380</v>
      </c>
      <c r="F51" s="269" t="s">
        <v>144</v>
      </c>
      <c r="G51" s="494" t="s">
        <v>39</v>
      </c>
      <c r="H51" s="414" t="s">
        <v>438</v>
      </c>
      <c r="I51" s="413"/>
      <c r="J51" s="414"/>
      <c r="K51" s="414"/>
      <c r="L51" s="416">
        <v>45399</v>
      </c>
      <c r="M51" s="415">
        <v>45399</v>
      </c>
      <c r="N51" s="434" t="s">
        <v>360</v>
      </c>
      <c r="O51" s="435" t="s">
        <v>428</v>
      </c>
      <c r="P51" s="435" t="s">
        <v>60</v>
      </c>
      <c r="Q51" s="548" t="s">
        <v>115</v>
      </c>
      <c r="R51" s="550"/>
      <c r="S51" s="437">
        <v>778.31</v>
      </c>
      <c r="T51" s="437">
        <v>778.31</v>
      </c>
      <c r="U51" s="561">
        <v>0</v>
      </c>
      <c r="V51" s="441">
        <v>45399</v>
      </c>
      <c r="W51" s="417">
        <v>45399</v>
      </c>
      <c r="X51" s="437">
        <v>778.31</v>
      </c>
      <c r="Y51" s="437">
        <v>0</v>
      </c>
      <c r="Z51" s="424" t="s">
        <v>14</v>
      </c>
      <c r="AA51" s="568" t="s">
        <v>39</v>
      </c>
      <c r="AB51" s="426" t="s">
        <v>382</v>
      </c>
      <c r="AC51" s="423"/>
      <c r="AD51" s="424"/>
      <c r="AE51" s="425">
        <v>0</v>
      </c>
      <c r="AF51" s="426"/>
      <c r="AG51" s="429">
        <v>778.31</v>
      </c>
      <c r="AH51" s="429">
        <v>0</v>
      </c>
      <c r="AI51" s="415" t="s">
        <v>104</v>
      </c>
    </row>
    <row r="52" spans="1:35" s="172" customFormat="1" ht="31" customHeight="1" x14ac:dyDescent="0.25">
      <c r="A52" s="316"/>
      <c r="B52" s="288"/>
      <c r="C52" s="494" t="s">
        <v>431</v>
      </c>
      <c r="D52" s="495" t="s">
        <v>260</v>
      </c>
      <c r="E52" s="413" t="s">
        <v>380</v>
      </c>
      <c r="F52" s="269" t="s">
        <v>144</v>
      </c>
      <c r="G52" s="494" t="s">
        <v>39</v>
      </c>
      <c r="H52" s="414" t="s">
        <v>505</v>
      </c>
      <c r="I52" s="413"/>
      <c r="J52" s="414"/>
      <c r="K52" s="414"/>
      <c r="L52" s="416">
        <v>45416</v>
      </c>
      <c r="M52" s="415">
        <v>45416</v>
      </c>
      <c r="N52" s="434" t="s">
        <v>504</v>
      </c>
      <c r="O52" s="435" t="s">
        <v>481</v>
      </c>
      <c r="P52" s="435" t="s">
        <v>60</v>
      </c>
      <c r="Q52" s="548" t="s">
        <v>115</v>
      </c>
      <c r="R52" s="553">
        <v>8701</v>
      </c>
      <c r="S52" s="437">
        <v>52.206000000000003</v>
      </c>
      <c r="T52" s="437">
        <v>52.206000000000003</v>
      </c>
      <c r="U52" s="561">
        <v>0</v>
      </c>
      <c r="V52" s="441">
        <v>45416</v>
      </c>
      <c r="W52" s="417">
        <v>45416</v>
      </c>
      <c r="X52" s="437">
        <v>52.206000000000003</v>
      </c>
      <c r="Y52" s="437">
        <v>0</v>
      </c>
      <c r="Z52" s="424" t="s">
        <v>14</v>
      </c>
      <c r="AA52" s="568" t="s">
        <v>39</v>
      </c>
      <c r="AB52" s="426" t="s">
        <v>382</v>
      </c>
      <c r="AC52" s="423"/>
      <c r="AD52" s="424"/>
      <c r="AE52" s="425">
        <v>0</v>
      </c>
      <c r="AF52" s="426"/>
      <c r="AG52" s="429">
        <v>52.206000000000003</v>
      </c>
      <c r="AH52" s="429">
        <v>0</v>
      </c>
      <c r="AI52" s="415" t="s">
        <v>104</v>
      </c>
    </row>
    <row r="53" spans="1:35" s="172" customFormat="1" ht="31" customHeight="1" x14ac:dyDescent="0.25">
      <c r="A53" s="316"/>
      <c r="B53" s="288"/>
      <c r="C53" s="494" t="s">
        <v>431</v>
      </c>
      <c r="D53" s="495" t="s">
        <v>261</v>
      </c>
      <c r="E53" s="413" t="s">
        <v>380</v>
      </c>
      <c r="F53" s="269" t="s">
        <v>144</v>
      </c>
      <c r="G53" s="494" t="s">
        <v>39</v>
      </c>
      <c r="H53" s="414" t="s">
        <v>506</v>
      </c>
      <c r="I53" s="413"/>
      <c r="J53" s="414"/>
      <c r="K53" s="414"/>
      <c r="L53" s="416">
        <v>45416</v>
      </c>
      <c r="M53" s="415">
        <v>45416</v>
      </c>
      <c r="N53" s="434" t="s">
        <v>504</v>
      </c>
      <c r="O53" s="435" t="s">
        <v>481</v>
      </c>
      <c r="P53" s="435" t="s">
        <v>60</v>
      </c>
      <c r="Q53" s="548" t="s">
        <v>115</v>
      </c>
      <c r="R53" s="553">
        <v>4314</v>
      </c>
      <c r="S53" s="437">
        <v>25.884</v>
      </c>
      <c r="T53" s="437">
        <v>25.884</v>
      </c>
      <c r="U53" s="561">
        <v>0</v>
      </c>
      <c r="V53" s="441">
        <v>45416</v>
      </c>
      <c r="W53" s="417">
        <v>45416</v>
      </c>
      <c r="X53" s="437">
        <v>25.884</v>
      </c>
      <c r="Y53" s="437">
        <v>0</v>
      </c>
      <c r="Z53" s="424" t="s">
        <v>14</v>
      </c>
      <c r="AA53" s="568" t="s">
        <v>39</v>
      </c>
      <c r="AB53" s="426" t="s">
        <v>382</v>
      </c>
      <c r="AC53" s="423"/>
      <c r="AD53" s="424"/>
      <c r="AE53" s="425">
        <v>0</v>
      </c>
      <c r="AF53" s="426"/>
      <c r="AG53" s="429">
        <v>25.884</v>
      </c>
      <c r="AH53" s="429">
        <v>0</v>
      </c>
      <c r="AI53" s="415" t="s">
        <v>104</v>
      </c>
    </row>
    <row r="54" spans="1:35" s="172" customFormat="1" ht="31" customHeight="1" x14ac:dyDescent="0.25">
      <c r="A54" s="316"/>
      <c r="B54" s="288"/>
      <c r="C54" s="494" t="s">
        <v>431</v>
      </c>
      <c r="D54" s="495" t="s">
        <v>262</v>
      </c>
      <c r="E54" s="413" t="s">
        <v>380</v>
      </c>
      <c r="F54" s="269" t="s">
        <v>144</v>
      </c>
      <c r="G54" s="494" t="s">
        <v>39</v>
      </c>
      <c r="H54" s="414" t="s">
        <v>507</v>
      </c>
      <c r="I54" s="413"/>
      <c r="J54" s="414"/>
      <c r="K54" s="414"/>
      <c r="L54" s="416">
        <v>45416</v>
      </c>
      <c r="M54" s="415">
        <v>45416</v>
      </c>
      <c r="N54" s="434" t="s">
        <v>504</v>
      </c>
      <c r="O54" s="435" t="s">
        <v>481</v>
      </c>
      <c r="P54" s="435" t="s">
        <v>60</v>
      </c>
      <c r="Q54" s="548" t="s">
        <v>115</v>
      </c>
      <c r="R54" s="553">
        <v>2415</v>
      </c>
      <c r="S54" s="437">
        <v>14.49</v>
      </c>
      <c r="T54" s="437">
        <v>14.49</v>
      </c>
      <c r="U54" s="561">
        <v>0</v>
      </c>
      <c r="V54" s="441">
        <v>45416</v>
      </c>
      <c r="W54" s="417">
        <v>45416</v>
      </c>
      <c r="X54" s="437">
        <v>14.49</v>
      </c>
      <c r="Y54" s="437">
        <v>0</v>
      </c>
      <c r="Z54" s="424" t="s">
        <v>14</v>
      </c>
      <c r="AA54" s="568" t="s">
        <v>39</v>
      </c>
      <c r="AB54" s="426" t="s">
        <v>382</v>
      </c>
      <c r="AC54" s="423"/>
      <c r="AD54" s="424"/>
      <c r="AE54" s="425">
        <v>0</v>
      </c>
      <c r="AF54" s="426"/>
      <c r="AG54" s="429">
        <v>14.49</v>
      </c>
      <c r="AH54" s="429">
        <v>0</v>
      </c>
      <c r="AI54" s="415" t="s">
        <v>104</v>
      </c>
    </row>
    <row r="55" spans="1:35" s="172" customFormat="1" ht="31" customHeight="1" x14ac:dyDescent="0.25">
      <c r="A55" s="316"/>
      <c r="B55" s="288"/>
      <c r="C55" s="494" t="s">
        <v>431</v>
      </c>
      <c r="D55" s="495" t="s">
        <v>263</v>
      </c>
      <c r="E55" s="413" t="s">
        <v>380</v>
      </c>
      <c r="F55" s="269" t="s">
        <v>144</v>
      </c>
      <c r="G55" s="494" t="s">
        <v>39</v>
      </c>
      <c r="H55" s="414" t="s">
        <v>508</v>
      </c>
      <c r="I55" s="413"/>
      <c r="J55" s="414"/>
      <c r="K55" s="414"/>
      <c r="L55" s="416">
        <v>45416</v>
      </c>
      <c r="M55" s="415">
        <v>45416</v>
      </c>
      <c r="N55" s="434" t="s">
        <v>504</v>
      </c>
      <c r="O55" s="435" t="s">
        <v>481</v>
      </c>
      <c r="P55" s="435" t="s">
        <v>60</v>
      </c>
      <c r="Q55" s="548" t="s">
        <v>115</v>
      </c>
      <c r="R55" s="553">
        <v>2636</v>
      </c>
      <c r="S55" s="437">
        <v>15.816000000000001</v>
      </c>
      <c r="T55" s="437">
        <v>15.816000000000001</v>
      </c>
      <c r="U55" s="561">
        <v>0</v>
      </c>
      <c r="V55" s="441">
        <v>45416</v>
      </c>
      <c r="W55" s="417">
        <v>45416</v>
      </c>
      <c r="X55" s="437">
        <v>15.816000000000001</v>
      </c>
      <c r="Y55" s="437">
        <v>0</v>
      </c>
      <c r="Z55" s="424" t="s">
        <v>14</v>
      </c>
      <c r="AA55" s="568" t="s">
        <v>39</v>
      </c>
      <c r="AB55" s="426" t="s">
        <v>382</v>
      </c>
      <c r="AC55" s="423"/>
      <c r="AD55" s="424"/>
      <c r="AE55" s="425">
        <v>0</v>
      </c>
      <c r="AF55" s="426"/>
      <c r="AG55" s="429">
        <v>15.816000000000001</v>
      </c>
      <c r="AH55" s="429">
        <v>0</v>
      </c>
      <c r="AI55" s="415" t="s">
        <v>104</v>
      </c>
    </row>
    <row r="56" spans="1:35" s="172" customFormat="1" ht="31" customHeight="1" x14ac:dyDescent="0.25">
      <c r="A56" s="316"/>
      <c r="B56" s="288"/>
      <c r="C56" s="494" t="s">
        <v>431</v>
      </c>
      <c r="D56" s="495" t="s">
        <v>264</v>
      </c>
      <c r="E56" s="413" t="s">
        <v>380</v>
      </c>
      <c r="F56" s="269" t="s">
        <v>144</v>
      </c>
      <c r="G56" s="494" t="s">
        <v>39</v>
      </c>
      <c r="H56" s="414" t="s">
        <v>509</v>
      </c>
      <c r="I56" s="413"/>
      <c r="J56" s="414"/>
      <c r="K56" s="414"/>
      <c r="L56" s="416">
        <v>45423</v>
      </c>
      <c r="M56" s="415">
        <v>45423</v>
      </c>
      <c r="N56" s="434" t="s">
        <v>504</v>
      </c>
      <c r="O56" s="435" t="s">
        <v>481</v>
      </c>
      <c r="P56" s="435" t="s">
        <v>60</v>
      </c>
      <c r="Q56" s="548" t="s">
        <v>115</v>
      </c>
      <c r="R56" s="553">
        <v>9860</v>
      </c>
      <c r="S56" s="437">
        <v>59.160000000000004</v>
      </c>
      <c r="T56" s="437">
        <v>59.160000000000004</v>
      </c>
      <c r="U56" s="561">
        <v>0</v>
      </c>
      <c r="V56" s="441">
        <v>45423</v>
      </c>
      <c r="W56" s="417">
        <v>45423</v>
      </c>
      <c r="X56" s="437">
        <v>59.160000000000004</v>
      </c>
      <c r="Y56" s="437">
        <v>0</v>
      </c>
      <c r="Z56" s="424" t="s">
        <v>14</v>
      </c>
      <c r="AA56" s="568" t="s">
        <v>39</v>
      </c>
      <c r="AB56" s="426" t="s">
        <v>382</v>
      </c>
      <c r="AC56" s="423"/>
      <c r="AD56" s="424"/>
      <c r="AE56" s="425">
        <v>0</v>
      </c>
      <c r="AF56" s="426"/>
      <c r="AG56" s="429">
        <v>59.160000000000004</v>
      </c>
      <c r="AH56" s="429">
        <v>0</v>
      </c>
      <c r="AI56" s="415" t="s">
        <v>104</v>
      </c>
    </row>
    <row r="57" spans="1:35" s="172" customFormat="1" ht="31" customHeight="1" x14ac:dyDescent="0.25">
      <c r="A57" s="316"/>
      <c r="B57" s="288"/>
      <c r="C57" s="494" t="s">
        <v>431</v>
      </c>
      <c r="D57" s="495" t="s">
        <v>265</v>
      </c>
      <c r="E57" s="413" t="s">
        <v>380</v>
      </c>
      <c r="F57" s="269" t="s">
        <v>144</v>
      </c>
      <c r="G57" s="494" t="s">
        <v>39</v>
      </c>
      <c r="H57" s="414" t="s">
        <v>510</v>
      </c>
      <c r="I57" s="413"/>
      <c r="J57" s="414"/>
      <c r="K57" s="414"/>
      <c r="L57" s="416">
        <v>45414</v>
      </c>
      <c r="M57" s="415">
        <v>45414</v>
      </c>
      <c r="N57" s="434" t="s">
        <v>514</v>
      </c>
      <c r="O57" s="435" t="s">
        <v>61</v>
      </c>
      <c r="P57" s="435" t="s">
        <v>515</v>
      </c>
      <c r="Q57" s="548" t="s">
        <v>115</v>
      </c>
      <c r="R57" s="553">
        <v>618180</v>
      </c>
      <c r="S57" s="437">
        <v>3770.8980000000001</v>
      </c>
      <c r="T57" s="437">
        <v>3770.8980000000001</v>
      </c>
      <c r="U57" s="561">
        <v>0</v>
      </c>
      <c r="V57" s="441">
        <v>45414</v>
      </c>
      <c r="W57" s="417">
        <v>45414</v>
      </c>
      <c r="X57" s="437">
        <v>3770.8980000000001</v>
      </c>
      <c r="Y57" s="437">
        <v>0</v>
      </c>
      <c r="Z57" s="424" t="s">
        <v>14</v>
      </c>
      <c r="AA57" s="568" t="s">
        <v>39</v>
      </c>
      <c r="AB57" s="426" t="s">
        <v>382</v>
      </c>
      <c r="AC57" s="423"/>
      <c r="AD57" s="424"/>
      <c r="AE57" s="425">
        <v>0</v>
      </c>
      <c r="AF57" s="426"/>
      <c r="AG57" s="429">
        <v>3770.8980000000001</v>
      </c>
      <c r="AH57" s="429">
        <v>0</v>
      </c>
      <c r="AI57" s="415" t="s">
        <v>104</v>
      </c>
    </row>
    <row r="58" spans="1:35" s="172" customFormat="1" ht="31" customHeight="1" x14ac:dyDescent="0.25">
      <c r="A58" s="316"/>
      <c r="B58" s="288"/>
      <c r="C58" s="494" t="s">
        <v>431</v>
      </c>
      <c r="D58" s="495" t="s">
        <v>266</v>
      </c>
      <c r="E58" s="413" t="s">
        <v>380</v>
      </c>
      <c r="F58" s="269" t="s">
        <v>144</v>
      </c>
      <c r="G58" s="494" t="s">
        <v>39</v>
      </c>
      <c r="H58" s="414" t="s">
        <v>511</v>
      </c>
      <c r="I58" s="413"/>
      <c r="J58" s="414"/>
      <c r="K58" s="414"/>
      <c r="L58" s="416">
        <v>45414</v>
      </c>
      <c r="M58" s="415">
        <v>45414</v>
      </c>
      <c r="N58" s="434" t="s">
        <v>514</v>
      </c>
      <c r="O58" s="435" t="s">
        <v>61</v>
      </c>
      <c r="P58" s="435" t="s">
        <v>515</v>
      </c>
      <c r="Q58" s="548" t="s">
        <v>115</v>
      </c>
      <c r="R58" s="553">
        <v>10030</v>
      </c>
      <c r="S58" s="437">
        <v>61.183000000000007</v>
      </c>
      <c r="T58" s="437">
        <v>61.183000000000007</v>
      </c>
      <c r="U58" s="561">
        <v>0</v>
      </c>
      <c r="V58" s="441">
        <v>45414</v>
      </c>
      <c r="W58" s="417">
        <v>45414</v>
      </c>
      <c r="X58" s="437">
        <v>61.183000000000007</v>
      </c>
      <c r="Y58" s="437">
        <v>0</v>
      </c>
      <c r="Z58" s="424" t="s">
        <v>14</v>
      </c>
      <c r="AA58" s="568" t="s">
        <v>39</v>
      </c>
      <c r="AB58" s="426" t="s">
        <v>382</v>
      </c>
      <c r="AC58" s="423"/>
      <c r="AD58" s="424"/>
      <c r="AE58" s="425">
        <v>0</v>
      </c>
      <c r="AF58" s="426"/>
      <c r="AG58" s="429">
        <v>61.183000000000007</v>
      </c>
      <c r="AH58" s="429">
        <v>0</v>
      </c>
      <c r="AI58" s="415" t="s">
        <v>104</v>
      </c>
    </row>
    <row r="59" spans="1:35" s="172" customFormat="1" ht="31" customHeight="1" x14ac:dyDescent="0.25">
      <c r="A59" s="316"/>
      <c r="B59" s="288"/>
      <c r="C59" s="494" t="s">
        <v>431</v>
      </c>
      <c r="D59" s="495" t="s">
        <v>267</v>
      </c>
      <c r="E59" s="413" t="s">
        <v>380</v>
      </c>
      <c r="F59" s="269" t="s">
        <v>144</v>
      </c>
      <c r="G59" s="494" t="s">
        <v>39</v>
      </c>
      <c r="H59" s="414" t="s">
        <v>512</v>
      </c>
      <c r="I59" s="413"/>
      <c r="J59" s="414"/>
      <c r="K59" s="414"/>
      <c r="L59" s="416">
        <v>45422</v>
      </c>
      <c r="M59" s="415">
        <v>45422</v>
      </c>
      <c r="N59" s="434" t="s">
        <v>516</v>
      </c>
      <c r="O59" s="435" t="s">
        <v>61</v>
      </c>
      <c r="P59" s="435" t="s">
        <v>515</v>
      </c>
      <c r="Q59" s="548" t="s">
        <v>115</v>
      </c>
      <c r="R59" s="553">
        <v>53940</v>
      </c>
      <c r="S59" s="437">
        <v>318.24599999999998</v>
      </c>
      <c r="T59" s="437">
        <v>318.24599999999998</v>
      </c>
      <c r="U59" s="561">
        <v>0</v>
      </c>
      <c r="V59" s="441">
        <v>45422</v>
      </c>
      <c r="W59" s="417">
        <v>45422</v>
      </c>
      <c r="X59" s="437">
        <v>318.24599999999998</v>
      </c>
      <c r="Y59" s="437">
        <v>0</v>
      </c>
      <c r="Z59" s="424" t="s">
        <v>14</v>
      </c>
      <c r="AA59" s="568" t="s">
        <v>39</v>
      </c>
      <c r="AB59" s="426" t="s">
        <v>382</v>
      </c>
      <c r="AC59" s="423"/>
      <c r="AD59" s="424"/>
      <c r="AE59" s="425">
        <v>0</v>
      </c>
      <c r="AF59" s="426"/>
      <c r="AG59" s="429">
        <v>318.24599999999998</v>
      </c>
      <c r="AH59" s="429">
        <v>0</v>
      </c>
      <c r="AI59" s="415" t="s">
        <v>104</v>
      </c>
    </row>
    <row r="60" spans="1:35" s="172" customFormat="1" ht="31" customHeight="1" x14ac:dyDescent="0.25">
      <c r="A60" s="316"/>
      <c r="B60" s="288"/>
      <c r="C60" s="494" t="s">
        <v>431</v>
      </c>
      <c r="D60" s="495" t="s">
        <v>268</v>
      </c>
      <c r="E60" s="413" t="s">
        <v>380</v>
      </c>
      <c r="F60" s="269" t="s">
        <v>144</v>
      </c>
      <c r="G60" s="494" t="s">
        <v>39</v>
      </c>
      <c r="H60" s="414" t="s">
        <v>513</v>
      </c>
      <c r="I60" s="413"/>
      <c r="J60" s="414"/>
      <c r="K60" s="414"/>
      <c r="L60" s="416">
        <v>45415</v>
      </c>
      <c r="M60" s="415">
        <v>45415</v>
      </c>
      <c r="N60" s="434" t="s">
        <v>517</v>
      </c>
      <c r="O60" s="435" t="s">
        <v>62</v>
      </c>
      <c r="P60" s="435" t="s">
        <v>62</v>
      </c>
      <c r="Q60" s="548" t="s">
        <v>115</v>
      </c>
      <c r="R60" s="553">
        <v>8800</v>
      </c>
      <c r="S60" s="437">
        <v>53.680000000000007</v>
      </c>
      <c r="T60" s="437">
        <v>53.680000000000007</v>
      </c>
      <c r="U60" s="561">
        <v>0</v>
      </c>
      <c r="V60" s="441">
        <v>45415</v>
      </c>
      <c r="W60" s="417">
        <v>45415</v>
      </c>
      <c r="X60" s="437">
        <v>53.680000000000007</v>
      </c>
      <c r="Y60" s="437">
        <v>0</v>
      </c>
      <c r="Z60" s="424" t="s">
        <v>14</v>
      </c>
      <c r="AA60" s="568" t="s">
        <v>39</v>
      </c>
      <c r="AB60" s="426" t="s">
        <v>382</v>
      </c>
      <c r="AC60" s="423"/>
      <c r="AD60" s="424"/>
      <c r="AE60" s="425">
        <v>0</v>
      </c>
      <c r="AF60" s="426"/>
      <c r="AG60" s="429">
        <v>53.680000000000007</v>
      </c>
      <c r="AH60" s="429">
        <v>0</v>
      </c>
      <c r="AI60" s="415" t="s">
        <v>104</v>
      </c>
    </row>
    <row r="61" spans="1:35" s="172" customFormat="1" ht="31" customHeight="1" x14ac:dyDescent="0.25">
      <c r="A61" s="316"/>
      <c r="B61" s="288"/>
      <c r="C61" s="494" t="s">
        <v>431</v>
      </c>
      <c r="D61" s="495" t="s">
        <v>270</v>
      </c>
      <c r="E61" s="413" t="s">
        <v>380</v>
      </c>
      <c r="F61" s="269" t="s">
        <v>144</v>
      </c>
      <c r="G61" s="494" t="s">
        <v>39</v>
      </c>
      <c r="H61" s="414"/>
      <c r="I61" s="413"/>
      <c r="J61" s="414"/>
      <c r="K61" s="414"/>
      <c r="L61" s="416">
        <v>45360</v>
      </c>
      <c r="M61" s="415">
        <v>45360</v>
      </c>
      <c r="N61" s="434" t="s">
        <v>520</v>
      </c>
      <c r="O61" s="435" t="s">
        <v>137</v>
      </c>
      <c r="P61" s="435" t="s">
        <v>85</v>
      </c>
      <c r="Q61" s="548" t="s">
        <v>77</v>
      </c>
      <c r="R61" s="550"/>
      <c r="S61" s="437">
        <v>75.099999999999994</v>
      </c>
      <c r="T61" s="437">
        <v>75.099999999999994</v>
      </c>
      <c r="U61" s="561">
        <v>0</v>
      </c>
      <c r="V61" s="441">
        <v>45360</v>
      </c>
      <c r="W61" s="417">
        <v>45360</v>
      </c>
      <c r="X61" s="437">
        <v>75.099999999999994</v>
      </c>
      <c r="Y61" s="437">
        <v>0</v>
      </c>
      <c r="Z61" s="424" t="s">
        <v>14</v>
      </c>
      <c r="AA61" s="568" t="s">
        <v>39</v>
      </c>
      <c r="AB61" s="426" t="s">
        <v>382</v>
      </c>
      <c r="AC61" s="423"/>
      <c r="AD61" s="424"/>
      <c r="AE61" s="425">
        <v>0</v>
      </c>
      <c r="AF61" s="426"/>
      <c r="AG61" s="429">
        <v>75.099999999999994</v>
      </c>
      <c r="AH61" s="429">
        <v>0</v>
      </c>
      <c r="AI61" s="415" t="s">
        <v>104</v>
      </c>
    </row>
    <row r="62" spans="1:35" s="172" customFormat="1" ht="31" customHeight="1" x14ac:dyDescent="0.25">
      <c r="A62" s="316"/>
      <c r="B62" s="288"/>
      <c r="C62" s="494" t="s">
        <v>431</v>
      </c>
      <c r="D62" s="495" t="s">
        <v>271</v>
      </c>
      <c r="E62" s="413" t="s">
        <v>380</v>
      </c>
      <c r="F62" s="269" t="s">
        <v>144</v>
      </c>
      <c r="G62" s="494" t="s">
        <v>39</v>
      </c>
      <c r="H62" s="414"/>
      <c r="I62" s="413"/>
      <c r="J62" s="414"/>
      <c r="K62" s="414"/>
      <c r="L62" s="416">
        <v>45429</v>
      </c>
      <c r="M62" s="415">
        <v>45429</v>
      </c>
      <c r="N62" s="434" t="s">
        <v>451</v>
      </c>
      <c r="O62" s="435" t="s">
        <v>93</v>
      </c>
      <c r="P62" s="435" t="s">
        <v>93</v>
      </c>
      <c r="Q62" s="548" t="s">
        <v>90</v>
      </c>
      <c r="R62" s="550"/>
      <c r="S62" s="437">
        <v>106.51</v>
      </c>
      <c r="T62" s="437">
        <v>106.51</v>
      </c>
      <c r="U62" s="561">
        <v>0</v>
      </c>
      <c r="V62" s="441">
        <v>45429</v>
      </c>
      <c r="W62" s="417">
        <v>45429</v>
      </c>
      <c r="X62" s="437">
        <v>106.51</v>
      </c>
      <c r="Y62" s="437">
        <v>0</v>
      </c>
      <c r="Z62" s="424" t="s">
        <v>14</v>
      </c>
      <c r="AA62" s="568" t="s">
        <v>39</v>
      </c>
      <c r="AB62" s="426" t="s">
        <v>382</v>
      </c>
      <c r="AC62" s="423"/>
      <c r="AD62" s="424"/>
      <c r="AE62" s="425">
        <v>0</v>
      </c>
      <c r="AF62" s="426"/>
      <c r="AG62" s="429">
        <v>106.51</v>
      </c>
      <c r="AH62" s="429">
        <v>0</v>
      </c>
      <c r="AI62" s="415" t="s">
        <v>104</v>
      </c>
    </row>
    <row r="63" spans="1:35" s="172" customFormat="1" ht="31" customHeight="1" x14ac:dyDescent="0.25">
      <c r="A63" s="316"/>
      <c r="B63" s="288"/>
      <c r="C63" s="494" t="s">
        <v>431</v>
      </c>
      <c r="D63" s="495" t="s">
        <v>272</v>
      </c>
      <c r="E63" s="413" t="s">
        <v>380</v>
      </c>
      <c r="F63" s="269" t="s">
        <v>144</v>
      </c>
      <c r="G63" s="494" t="s">
        <v>39</v>
      </c>
      <c r="H63" s="414"/>
      <c r="I63" s="413"/>
      <c r="J63" s="414"/>
      <c r="K63" s="414"/>
      <c r="L63" s="416">
        <v>45433</v>
      </c>
      <c r="M63" s="415">
        <v>45433</v>
      </c>
      <c r="N63" s="434" t="s">
        <v>381</v>
      </c>
      <c r="O63" s="435" t="s">
        <v>137</v>
      </c>
      <c r="P63" s="435" t="s">
        <v>85</v>
      </c>
      <c r="Q63" s="548" t="s">
        <v>77</v>
      </c>
      <c r="R63" s="550"/>
      <c r="S63" s="437">
        <v>50</v>
      </c>
      <c r="T63" s="437">
        <v>50</v>
      </c>
      <c r="U63" s="561">
        <v>0</v>
      </c>
      <c r="V63" s="441">
        <v>45428</v>
      </c>
      <c r="W63" s="417">
        <v>45428</v>
      </c>
      <c r="X63" s="437">
        <v>50</v>
      </c>
      <c r="Y63" s="437">
        <v>0</v>
      </c>
      <c r="Z63" s="424" t="s">
        <v>14</v>
      </c>
      <c r="AA63" s="568" t="s">
        <v>39</v>
      </c>
      <c r="AB63" s="426" t="s">
        <v>382</v>
      </c>
      <c r="AC63" s="423"/>
      <c r="AD63" s="424"/>
      <c r="AE63" s="425">
        <v>0</v>
      </c>
      <c r="AF63" s="426"/>
      <c r="AG63" s="429">
        <v>50</v>
      </c>
      <c r="AH63" s="429">
        <v>0</v>
      </c>
      <c r="AI63" s="415" t="s">
        <v>104</v>
      </c>
    </row>
    <row r="64" spans="1:35" s="172" customFormat="1" ht="31" customHeight="1" x14ac:dyDescent="0.25">
      <c r="A64" s="316"/>
      <c r="B64" s="288"/>
      <c r="C64" s="494" t="s">
        <v>431</v>
      </c>
      <c r="D64" s="495" t="s">
        <v>273</v>
      </c>
      <c r="E64" s="413" t="s">
        <v>380</v>
      </c>
      <c r="F64" s="269" t="s">
        <v>144</v>
      </c>
      <c r="G64" s="494" t="s">
        <v>39</v>
      </c>
      <c r="H64" s="414" t="s">
        <v>518</v>
      </c>
      <c r="I64" s="413"/>
      <c r="J64" s="414"/>
      <c r="K64" s="414"/>
      <c r="L64" s="416">
        <v>45372</v>
      </c>
      <c r="M64" s="415">
        <v>45372</v>
      </c>
      <c r="N64" s="434" t="s">
        <v>519</v>
      </c>
      <c r="O64" s="435" t="s">
        <v>62</v>
      </c>
      <c r="P64" s="435" t="s">
        <v>62</v>
      </c>
      <c r="Q64" s="548" t="s">
        <v>115</v>
      </c>
      <c r="R64" s="550"/>
      <c r="S64" s="437">
        <v>29.4</v>
      </c>
      <c r="T64" s="437">
        <v>29.4</v>
      </c>
      <c r="U64" s="561">
        <v>0</v>
      </c>
      <c r="V64" s="441">
        <v>45372</v>
      </c>
      <c r="W64" s="417">
        <v>45372</v>
      </c>
      <c r="X64" s="437">
        <v>29.4</v>
      </c>
      <c r="Y64" s="437">
        <v>0</v>
      </c>
      <c r="Z64" s="424" t="s">
        <v>14</v>
      </c>
      <c r="AA64" s="568" t="s">
        <v>39</v>
      </c>
      <c r="AB64" s="426" t="s">
        <v>382</v>
      </c>
      <c r="AC64" s="423"/>
      <c r="AD64" s="424"/>
      <c r="AE64" s="425">
        <v>0</v>
      </c>
      <c r="AF64" s="426"/>
      <c r="AG64" s="429">
        <v>29.4</v>
      </c>
      <c r="AH64" s="429">
        <v>0</v>
      </c>
      <c r="AI64" s="415" t="s">
        <v>104</v>
      </c>
    </row>
    <row r="65" spans="1:35" s="172" customFormat="1" ht="31" customHeight="1" x14ac:dyDescent="0.25">
      <c r="A65" s="316"/>
      <c r="B65" s="288"/>
      <c r="C65" s="494" t="s">
        <v>431</v>
      </c>
      <c r="D65" s="495" t="s">
        <v>292</v>
      </c>
      <c r="E65" s="413" t="s">
        <v>380</v>
      </c>
      <c r="F65" s="269" t="s">
        <v>144</v>
      </c>
      <c r="G65" s="494" t="s">
        <v>39</v>
      </c>
      <c r="H65" s="414"/>
      <c r="I65" s="413"/>
      <c r="J65" s="414"/>
      <c r="K65" s="414"/>
      <c r="L65" s="416">
        <v>45439</v>
      </c>
      <c r="M65" s="415">
        <v>45439</v>
      </c>
      <c r="N65" s="434" t="s">
        <v>456</v>
      </c>
      <c r="O65" s="435" t="s">
        <v>138</v>
      </c>
      <c r="P65" s="435" t="s">
        <v>94</v>
      </c>
      <c r="Q65" s="548" t="s">
        <v>90</v>
      </c>
      <c r="R65" s="550"/>
      <c r="S65" s="437">
        <v>3</v>
      </c>
      <c r="T65" s="437">
        <v>3</v>
      </c>
      <c r="U65" s="561">
        <v>0</v>
      </c>
      <c r="V65" s="441">
        <v>45439</v>
      </c>
      <c r="W65" s="417">
        <v>45439</v>
      </c>
      <c r="X65" s="437">
        <v>3</v>
      </c>
      <c r="Y65" s="437">
        <v>0</v>
      </c>
      <c r="Z65" s="424" t="s">
        <v>14</v>
      </c>
      <c r="AA65" s="568" t="s">
        <v>39</v>
      </c>
      <c r="AB65" s="426" t="s">
        <v>382</v>
      </c>
      <c r="AC65" s="423"/>
      <c r="AD65" s="424"/>
      <c r="AE65" s="425">
        <v>0</v>
      </c>
      <c r="AF65" s="426"/>
      <c r="AG65" s="429">
        <v>3</v>
      </c>
      <c r="AH65" s="429">
        <v>0</v>
      </c>
      <c r="AI65" s="415" t="s">
        <v>104</v>
      </c>
    </row>
    <row r="66" spans="1:35" s="444" customFormat="1" ht="36" customHeight="1" x14ac:dyDescent="0.2">
      <c r="B66" s="466"/>
      <c r="C66" s="1024" t="s">
        <v>404</v>
      </c>
      <c r="D66" s="1025"/>
      <c r="E66" s="1025"/>
      <c r="F66" s="1025"/>
      <c r="G66" s="1025"/>
      <c r="H66" s="1025"/>
      <c r="I66" s="1025"/>
      <c r="J66" s="1025"/>
      <c r="K66" s="1025"/>
      <c r="L66" s="1025"/>
      <c r="M66" s="1025"/>
      <c r="N66" s="1025"/>
      <c r="O66" s="1025"/>
      <c r="P66" s="1025"/>
      <c r="Q66" s="1025"/>
      <c r="R66" s="467"/>
      <c r="S66" s="498">
        <f>SUM(S28:S65)</f>
        <v>8501.8813000000009</v>
      </c>
      <c r="T66" s="563"/>
      <c r="U66" s="467"/>
      <c r="V66" s="482"/>
      <c r="W66" s="470"/>
      <c r="X66" s="471"/>
      <c r="Y66" s="471"/>
      <c r="Z66" s="570"/>
      <c r="AA66" s="472"/>
      <c r="AB66" s="472"/>
      <c r="AC66" s="472"/>
      <c r="AD66" s="472"/>
      <c r="AE66" s="472"/>
      <c r="AF66" s="472"/>
      <c r="AG66" s="472"/>
      <c r="AH66" s="472"/>
      <c r="AI66" s="484"/>
    </row>
    <row r="67" spans="1:35" s="172" customFormat="1" ht="33" customHeight="1" x14ac:dyDescent="0.25">
      <c r="A67" s="316"/>
      <c r="B67" s="532"/>
      <c r="C67" s="494" t="s">
        <v>431</v>
      </c>
      <c r="D67" s="495" t="s">
        <v>166</v>
      </c>
      <c r="E67" s="413" t="s">
        <v>143</v>
      </c>
      <c r="F67" s="414" t="s">
        <v>145</v>
      </c>
      <c r="G67" s="494" t="s">
        <v>39</v>
      </c>
      <c r="H67" s="415"/>
      <c r="I67" s="415"/>
      <c r="J67" s="415"/>
      <c r="K67" s="415" t="s">
        <v>363</v>
      </c>
      <c r="L67" s="416">
        <v>45365</v>
      </c>
      <c r="M67" s="417">
        <v>45365</v>
      </c>
      <c r="N67" s="434" t="s">
        <v>422</v>
      </c>
      <c r="O67" s="419" t="s">
        <v>423</v>
      </c>
      <c r="P67" s="419" t="s">
        <v>354</v>
      </c>
      <c r="Q67" s="419" t="s">
        <v>50</v>
      </c>
      <c r="R67" s="447"/>
      <c r="S67" s="437">
        <v>500</v>
      </c>
      <c r="T67" s="496">
        <v>0</v>
      </c>
      <c r="U67" s="561">
        <v>500</v>
      </c>
      <c r="V67" s="441">
        <v>45425</v>
      </c>
      <c r="W67" s="417">
        <v>45425</v>
      </c>
      <c r="X67" s="437">
        <v>500</v>
      </c>
      <c r="Y67" s="437">
        <v>0</v>
      </c>
      <c r="Z67" s="424" t="s">
        <v>14</v>
      </c>
      <c r="AA67" s="568" t="s">
        <v>39</v>
      </c>
      <c r="AB67" s="426" t="s">
        <v>382</v>
      </c>
      <c r="AC67" s="439" t="s">
        <v>139</v>
      </c>
      <c r="AD67" s="424"/>
      <c r="AE67" s="428">
        <v>0</v>
      </c>
      <c r="AF67" s="415"/>
      <c r="AG67" s="429">
        <v>500</v>
      </c>
      <c r="AH67" s="429">
        <v>0</v>
      </c>
      <c r="AI67" s="415" t="s">
        <v>104</v>
      </c>
    </row>
    <row r="68" spans="1:35" s="172" customFormat="1" ht="33" customHeight="1" x14ac:dyDescent="0.25">
      <c r="A68" s="316"/>
      <c r="B68" s="532"/>
      <c r="C68" s="494" t="s">
        <v>431</v>
      </c>
      <c r="D68" s="495" t="s">
        <v>168</v>
      </c>
      <c r="E68" s="413" t="s">
        <v>143</v>
      </c>
      <c r="F68" s="555" t="s">
        <v>145</v>
      </c>
      <c r="G68" s="494" t="s">
        <v>39</v>
      </c>
      <c r="H68" s="556"/>
      <c r="I68" s="557"/>
      <c r="J68" s="557"/>
      <c r="K68" s="415" t="s">
        <v>421</v>
      </c>
      <c r="L68" s="416">
        <v>45324</v>
      </c>
      <c r="M68" s="417">
        <f t="shared" ref="M68:M70" si="0">L68</f>
        <v>45324</v>
      </c>
      <c r="N68" s="434" t="s">
        <v>362</v>
      </c>
      <c r="O68" s="419" t="s">
        <v>436</v>
      </c>
      <c r="P68" s="419" t="s">
        <v>354</v>
      </c>
      <c r="Q68" s="419" t="s">
        <v>50</v>
      </c>
      <c r="R68" s="558"/>
      <c r="S68" s="437">
        <v>24.92</v>
      </c>
      <c r="T68" s="496">
        <v>0</v>
      </c>
      <c r="U68" s="561">
        <f t="shared" ref="U68:U70" si="1">S68</f>
        <v>24.92</v>
      </c>
      <c r="V68" s="441">
        <v>45435</v>
      </c>
      <c r="W68" s="417">
        <f t="shared" ref="W68:W70" si="2">V68</f>
        <v>45435</v>
      </c>
      <c r="X68" s="437">
        <f t="shared" ref="X68:X70" si="3">T68+U68</f>
        <v>24.92</v>
      </c>
      <c r="Y68" s="437">
        <f t="shared" ref="Y68:Y70" si="4">S68-X68</f>
        <v>0</v>
      </c>
      <c r="Z68" s="424" t="s">
        <v>14</v>
      </c>
      <c r="AA68" s="568" t="str">
        <f t="shared" ref="AA68:AA70" si="5">G68</f>
        <v>RABONA</v>
      </c>
      <c r="AB68" s="426" t="str">
        <f t="shared" ref="AB68:AB70" si="6">IF(Y68&gt;0,"PENDING EXECUTION","COMPLETED")</f>
        <v>COMPLETED</v>
      </c>
      <c r="AC68" s="439" t="s">
        <v>139</v>
      </c>
      <c r="AD68" s="424"/>
      <c r="AE68" s="428">
        <f t="shared" ref="AE68:AE70" si="7">IF(AA68=$AD$5,S68,0)</f>
        <v>0</v>
      </c>
      <c r="AF68" s="415"/>
      <c r="AG68" s="429">
        <f t="shared" ref="AG68:AG70" si="8">IF(Z68=$AG$5,X68,0)</f>
        <v>0</v>
      </c>
      <c r="AH68" s="429">
        <f t="shared" ref="AH68:AH70" si="9">IF(AA68=$AH$5,X68,0)</f>
        <v>0</v>
      </c>
      <c r="AI68" s="415" t="s">
        <v>104</v>
      </c>
    </row>
    <row r="69" spans="1:35" s="172" customFormat="1" ht="33" customHeight="1" x14ac:dyDescent="0.25">
      <c r="A69" s="316"/>
      <c r="B69" s="532"/>
      <c r="C69" s="494" t="s">
        <v>431</v>
      </c>
      <c r="D69" s="495" t="s">
        <v>169</v>
      </c>
      <c r="E69" s="413" t="s">
        <v>143</v>
      </c>
      <c r="F69" s="372" t="s">
        <v>145</v>
      </c>
      <c r="G69" s="494" t="s">
        <v>39</v>
      </c>
      <c r="H69" s="557"/>
      <c r="I69" s="557"/>
      <c r="J69" s="559"/>
      <c r="K69" s="415" t="s">
        <v>424</v>
      </c>
      <c r="L69" s="416">
        <v>45324</v>
      </c>
      <c r="M69" s="417">
        <f t="shared" si="0"/>
        <v>45324</v>
      </c>
      <c r="N69" s="434" t="s">
        <v>362</v>
      </c>
      <c r="O69" s="419" t="s">
        <v>436</v>
      </c>
      <c r="P69" s="419" t="s">
        <v>354</v>
      </c>
      <c r="Q69" s="419" t="s">
        <v>50</v>
      </c>
      <c r="R69" s="558"/>
      <c r="S69" s="437">
        <v>194.76</v>
      </c>
      <c r="T69" s="496">
        <v>0</v>
      </c>
      <c r="U69" s="561">
        <f t="shared" si="1"/>
        <v>194.76</v>
      </c>
      <c r="V69" s="441">
        <v>45435</v>
      </c>
      <c r="W69" s="417">
        <f t="shared" si="2"/>
        <v>45435</v>
      </c>
      <c r="X69" s="437">
        <f t="shared" si="3"/>
        <v>194.76</v>
      </c>
      <c r="Y69" s="437">
        <f t="shared" si="4"/>
        <v>0</v>
      </c>
      <c r="Z69" s="424" t="s">
        <v>14</v>
      </c>
      <c r="AA69" s="568" t="str">
        <f t="shared" si="5"/>
        <v>RABONA</v>
      </c>
      <c r="AB69" s="426" t="str">
        <f t="shared" si="6"/>
        <v>COMPLETED</v>
      </c>
      <c r="AC69" s="439" t="s">
        <v>139</v>
      </c>
      <c r="AD69" s="424"/>
      <c r="AE69" s="428">
        <f t="shared" si="7"/>
        <v>0</v>
      </c>
      <c r="AF69" s="415"/>
      <c r="AG69" s="429">
        <f t="shared" si="8"/>
        <v>0</v>
      </c>
      <c r="AH69" s="429">
        <f t="shared" si="9"/>
        <v>0</v>
      </c>
      <c r="AI69" s="415" t="s">
        <v>104</v>
      </c>
    </row>
    <row r="70" spans="1:35" s="172" customFormat="1" ht="33" customHeight="1" x14ac:dyDescent="0.25">
      <c r="A70" s="316"/>
      <c r="B70" s="532"/>
      <c r="C70" s="494" t="s">
        <v>431</v>
      </c>
      <c r="D70" s="495" t="s">
        <v>170</v>
      </c>
      <c r="E70" s="413" t="s">
        <v>143</v>
      </c>
      <c r="F70" s="372" t="s">
        <v>145</v>
      </c>
      <c r="G70" s="494" t="s">
        <v>39</v>
      </c>
      <c r="H70" s="559"/>
      <c r="I70" s="559"/>
      <c r="J70" s="560"/>
      <c r="K70" s="415" t="s">
        <v>425</v>
      </c>
      <c r="L70" s="416">
        <v>45324</v>
      </c>
      <c r="M70" s="417">
        <f t="shared" si="0"/>
        <v>45324</v>
      </c>
      <c r="N70" s="434" t="s">
        <v>362</v>
      </c>
      <c r="O70" s="419" t="s">
        <v>436</v>
      </c>
      <c r="P70" s="419" t="s">
        <v>354</v>
      </c>
      <c r="Q70" s="419" t="s">
        <v>50</v>
      </c>
      <c r="R70" s="558"/>
      <c r="S70" s="437">
        <v>24.92</v>
      </c>
      <c r="T70" s="496">
        <v>0</v>
      </c>
      <c r="U70" s="561">
        <f t="shared" si="1"/>
        <v>24.92</v>
      </c>
      <c r="V70" s="441">
        <v>45435</v>
      </c>
      <c r="W70" s="417">
        <f t="shared" si="2"/>
        <v>45435</v>
      </c>
      <c r="X70" s="437">
        <f t="shared" si="3"/>
        <v>24.92</v>
      </c>
      <c r="Y70" s="437">
        <f t="shared" si="4"/>
        <v>0</v>
      </c>
      <c r="Z70" s="424" t="s">
        <v>14</v>
      </c>
      <c r="AA70" s="568" t="str">
        <f t="shared" si="5"/>
        <v>RABONA</v>
      </c>
      <c r="AB70" s="426" t="str">
        <f t="shared" si="6"/>
        <v>COMPLETED</v>
      </c>
      <c r="AC70" s="439" t="s">
        <v>139</v>
      </c>
      <c r="AD70" s="424"/>
      <c r="AE70" s="428">
        <f t="shared" si="7"/>
        <v>0</v>
      </c>
      <c r="AF70" s="415"/>
      <c r="AG70" s="429">
        <f t="shared" si="8"/>
        <v>0</v>
      </c>
      <c r="AH70" s="429">
        <f t="shared" si="9"/>
        <v>0</v>
      </c>
      <c r="AI70" s="415" t="s">
        <v>104</v>
      </c>
    </row>
    <row r="71" spans="1:35" s="172" customFormat="1" ht="33" customHeight="1" x14ac:dyDescent="0.25">
      <c r="A71" s="316"/>
      <c r="B71" s="532"/>
      <c r="C71" s="494" t="s">
        <v>431</v>
      </c>
      <c r="D71" s="495" t="s">
        <v>177</v>
      </c>
      <c r="E71" s="413" t="s">
        <v>143</v>
      </c>
      <c r="F71" s="414" t="s">
        <v>145</v>
      </c>
      <c r="G71" s="494" t="s">
        <v>39</v>
      </c>
      <c r="H71" s="415"/>
      <c r="I71" s="415"/>
      <c r="J71" s="415"/>
      <c r="K71" s="415" t="s">
        <v>437</v>
      </c>
      <c r="L71" s="416">
        <v>45434</v>
      </c>
      <c r="M71" s="417">
        <v>45434</v>
      </c>
      <c r="N71" s="434" t="s">
        <v>422</v>
      </c>
      <c r="O71" s="419" t="s">
        <v>423</v>
      </c>
      <c r="P71" s="419" t="s">
        <v>354</v>
      </c>
      <c r="Q71" s="419" t="s">
        <v>50</v>
      </c>
      <c r="R71" s="447"/>
      <c r="S71" s="437">
        <v>50</v>
      </c>
      <c r="T71" s="496">
        <v>0</v>
      </c>
      <c r="U71" s="561">
        <v>50</v>
      </c>
      <c r="V71" s="441">
        <v>45434</v>
      </c>
      <c r="W71" s="417">
        <v>45434</v>
      </c>
      <c r="X71" s="437">
        <v>50</v>
      </c>
      <c r="Y71" s="437">
        <v>0</v>
      </c>
      <c r="Z71" s="424" t="s">
        <v>14</v>
      </c>
      <c r="AA71" s="568" t="s">
        <v>39</v>
      </c>
      <c r="AB71" s="426" t="s">
        <v>382</v>
      </c>
      <c r="AC71" s="439" t="s">
        <v>139</v>
      </c>
      <c r="AD71" s="424"/>
      <c r="AE71" s="428">
        <v>0</v>
      </c>
      <c r="AF71" s="415"/>
      <c r="AG71" s="429">
        <v>50</v>
      </c>
      <c r="AH71" s="429">
        <v>0</v>
      </c>
      <c r="AI71" s="415" t="s">
        <v>104</v>
      </c>
    </row>
    <row r="72" spans="1:35" s="172" customFormat="1" ht="33" customHeight="1" x14ac:dyDescent="0.25">
      <c r="A72" s="316"/>
      <c r="B72" s="289"/>
      <c r="C72" s="494" t="s">
        <v>431</v>
      </c>
      <c r="D72" s="495" t="s">
        <v>180</v>
      </c>
      <c r="E72" s="413" t="s">
        <v>446</v>
      </c>
      <c r="F72" s="414" t="s">
        <v>145</v>
      </c>
      <c r="G72" s="494" t="s">
        <v>39</v>
      </c>
      <c r="H72" s="415"/>
      <c r="I72" s="415"/>
      <c r="J72" s="415"/>
      <c r="K72" s="415" t="s">
        <v>439</v>
      </c>
      <c r="L72" s="416">
        <v>45419</v>
      </c>
      <c r="M72" s="417">
        <v>45419</v>
      </c>
      <c r="N72" s="434" t="s">
        <v>422</v>
      </c>
      <c r="O72" s="419" t="s">
        <v>423</v>
      </c>
      <c r="P72" s="419" t="s">
        <v>354</v>
      </c>
      <c r="Q72" s="419" t="s">
        <v>50</v>
      </c>
      <c r="R72" s="447"/>
      <c r="S72" s="437">
        <v>20</v>
      </c>
      <c r="T72" s="496">
        <v>0</v>
      </c>
      <c r="U72" s="561">
        <f>S72</f>
        <v>20</v>
      </c>
      <c r="V72" s="441">
        <v>45419</v>
      </c>
      <c r="W72" s="417">
        <v>45419</v>
      </c>
      <c r="X72" s="437">
        <v>20</v>
      </c>
      <c r="Y72" s="437">
        <v>0</v>
      </c>
      <c r="Z72" s="424" t="s">
        <v>14</v>
      </c>
      <c r="AA72" s="568" t="s">
        <v>39</v>
      </c>
      <c r="AB72" s="426" t="s">
        <v>382</v>
      </c>
      <c r="AC72" s="439" t="s">
        <v>139</v>
      </c>
      <c r="AD72" s="424"/>
      <c r="AE72" s="428">
        <v>0</v>
      </c>
      <c r="AF72" s="415"/>
      <c r="AG72" s="429">
        <v>20</v>
      </c>
      <c r="AH72" s="429">
        <v>0</v>
      </c>
      <c r="AI72" s="415" t="s">
        <v>104</v>
      </c>
    </row>
    <row r="73" spans="1:35" s="172" customFormat="1" ht="33" customHeight="1" x14ac:dyDescent="0.25">
      <c r="A73" s="316"/>
      <c r="B73" s="289"/>
      <c r="C73" s="494" t="s">
        <v>431</v>
      </c>
      <c r="D73" s="495" t="s">
        <v>181</v>
      </c>
      <c r="E73" s="413" t="s">
        <v>446</v>
      </c>
      <c r="F73" s="414" t="s">
        <v>145</v>
      </c>
      <c r="G73" s="494" t="s">
        <v>39</v>
      </c>
      <c r="H73" s="415"/>
      <c r="I73" s="415"/>
      <c r="J73" s="415"/>
      <c r="K73" s="415" t="s">
        <v>440</v>
      </c>
      <c r="L73" s="416">
        <v>45421</v>
      </c>
      <c r="M73" s="417">
        <v>45421</v>
      </c>
      <c r="N73" s="434" t="s">
        <v>422</v>
      </c>
      <c r="O73" s="419" t="s">
        <v>423</v>
      </c>
      <c r="P73" s="419" t="s">
        <v>354</v>
      </c>
      <c r="Q73" s="419" t="s">
        <v>50</v>
      </c>
      <c r="R73" s="447"/>
      <c r="S73" s="437">
        <v>500</v>
      </c>
      <c r="T73" s="496">
        <v>0</v>
      </c>
      <c r="U73" s="561">
        <f t="shared" ref="U73:U75" si="10">S73</f>
        <v>500</v>
      </c>
      <c r="V73" s="441">
        <v>45421</v>
      </c>
      <c r="W73" s="417">
        <v>45421</v>
      </c>
      <c r="X73" s="437">
        <v>500</v>
      </c>
      <c r="Y73" s="437">
        <v>0</v>
      </c>
      <c r="Z73" s="424" t="s">
        <v>14</v>
      </c>
      <c r="AA73" s="568" t="s">
        <v>39</v>
      </c>
      <c r="AB73" s="426" t="s">
        <v>382</v>
      </c>
      <c r="AC73" s="439" t="s">
        <v>139</v>
      </c>
      <c r="AD73" s="424"/>
      <c r="AE73" s="428">
        <v>0</v>
      </c>
      <c r="AF73" s="415"/>
      <c r="AG73" s="429">
        <v>500</v>
      </c>
      <c r="AH73" s="429">
        <v>0</v>
      </c>
      <c r="AI73" s="415" t="s">
        <v>104</v>
      </c>
    </row>
    <row r="74" spans="1:35" s="172" customFormat="1" ht="33" customHeight="1" x14ac:dyDescent="0.25">
      <c r="A74" s="316"/>
      <c r="B74" s="289"/>
      <c r="C74" s="494" t="s">
        <v>431</v>
      </c>
      <c r="D74" s="495" t="s">
        <v>184</v>
      </c>
      <c r="E74" s="413" t="s">
        <v>446</v>
      </c>
      <c r="F74" s="414" t="s">
        <v>145</v>
      </c>
      <c r="G74" s="494" t="s">
        <v>39</v>
      </c>
      <c r="H74" s="415"/>
      <c r="I74" s="415"/>
      <c r="J74" s="415"/>
      <c r="K74" s="415" t="s">
        <v>441</v>
      </c>
      <c r="L74" s="416">
        <v>45432</v>
      </c>
      <c r="M74" s="417">
        <v>45432</v>
      </c>
      <c r="N74" s="434" t="s">
        <v>422</v>
      </c>
      <c r="O74" s="419" t="s">
        <v>423</v>
      </c>
      <c r="P74" s="419" t="s">
        <v>354</v>
      </c>
      <c r="Q74" s="419" t="s">
        <v>50</v>
      </c>
      <c r="R74" s="447"/>
      <c r="S74" s="437">
        <v>500</v>
      </c>
      <c r="T74" s="496">
        <v>0</v>
      </c>
      <c r="U74" s="561">
        <f t="shared" si="10"/>
        <v>500</v>
      </c>
      <c r="V74" s="441">
        <v>45432</v>
      </c>
      <c r="W74" s="417">
        <v>45432</v>
      </c>
      <c r="X74" s="437">
        <v>500</v>
      </c>
      <c r="Y74" s="437">
        <v>0</v>
      </c>
      <c r="Z74" s="424" t="s">
        <v>14</v>
      </c>
      <c r="AA74" s="568" t="s">
        <v>39</v>
      </c>
      <c r="AB74" s="426" t="s">
        <v>382</v>
      </c>
      <c r="AC74" s="439" t="s">
        <v>139</v>
      </c>
      <c r="AD74" s="424"/>
      <c r="AE74" s="428">
        <v>0</v>
      </c>
      <c r="AF74" s="415"/>
      <c r="AG74" s="429">
        <v>500</v>
      </c>
      <c r="AH74" s="429">
        <v>0</v>
      </c>
      <c r="AI74" s="415" t="s">
        <v>104</v>
      </c>
    </row>
    <row r="75" spans="1:35" s="172" customFormat="1" ht="33" customHeight="1" x14ac:dyDescent="0.25">
      <c r="A75" s="316"/>
      <c r="B75" s="289"/>
      <c r="C75" s="494" t="s">
        <v>431</v>
      </c>
      <c r="D75" s="495" t="s">
        <v>185</v>
      </c>
      <c r="E75" s="413" t="s">
        <v>446</v>
      </c>
      <c r="F75" s="414" t="s">
        <v>145</v>
      </c>
      <c r="G75" s="494" t="s">
        <v>39</v>
      </c>
      <c r="H75" s="415"/>
      <c r="I75" s="415"/>
      <c r="J75" s="415"/>
      <c r="K75" s="415" t="s">
        <v>442</v>
      </c>
      <c r="L75" s="416">
        <v>45440</v>
      </c>
      <c r="M75" s="417">
        <v>45440</v>
      </c>
      <c r="N75" s="434" t="s">
        <v>422</v>
      </c>
      <c r="O75" s="419" t="s">
        <v>423</v>
      </c>
      <c r="P75" s="419" t="s">
        <v>354</v>
      </c>
      <c r="Q75" s="419" t="s">
        <v>50</v>
      </c>
      <c r="R75" s="447"/>
      <c r="S75" s="437">
        <v>200</v>
      </c>
      <c r="T75" s="496">
        <v>0</v>
      </c>
      <c r="U75" s="561">
        <f t="shared" si="10"/>
        <v>200</v>
      </c>
      <c r="V75" s="441">
        <v>45440</v>
      </c>
      <c r="W75" s="417">
        <v>45440</v>
      </c>
      <c r="X75" s="437">
        <v>200</v>
      </c>
      <c r="Y75" s="437">
        <v>0</v>
      </c>
      <c r="Z75" s="424" t="s">
        <v>14</v>
      </c>
      <c r="AA75" s="568" t="s">
        <v>39</v>
      </c>
      <c r="AB75" s="426" t="s">
        <v>382</v>
      </c>
      <c r="AC75" s="439" t="s">
        <v>139</v>
      </c>
      <c r="AD75" s="424"/>
      <c r="AE75" s="428">
        <v>0</v>
      </c>
      <c r="AF75" s="415"/>
      <c r="AG75" s="429">
        <v>200</v>
      </c>
      <c r="AH75" s="429">
        <v>0</v>
      </c>
      <c r="AI75" s="415" t="s">
        <v>104</v>
      </c>
    </row>
    <row r="76" spans="1:35" ht="27" hidden="1" customHeight="1" x14ac:dyDescent="0.2">
      <c r="B76" s="414"/>
      <c r="C76" s="411"/>
      <c r="D76" s="412"/>
      <c r="E76" s="413"/>
      <c r="F76" s="414"/>
      <c r="G76" s="414"/>
      <c r="H76" s="415"/>
      <c r="I76" s="415"/>
      <c r="J76" s="415"/>
      <c r="K76" s="415"/>
      <c r="L76" s="416"/>
      <c r="M76" s="417"/>
      <c r="N76" s="434"/>
      <c r="O76" s="419"/>
      <c r="P76" s="419"/>
      <c r="Q76" s="419"/>
      <c r="R76" s="447"/>
      <c r="S76" s="437"/>
      <c r="T76" s="496"/>
      <c r="U76" s="561"/>
      <c r="V76" s="441">
        <v>0</v>
      </c>
      <c r="W76" s="417"/>
      <c r="X76" s="423">
        <v>119.5</v>
      </c>
      <c r="Y76" s="423">
        <v>0</v>
      </c>
      <c r="Z76" s="424" t="s">
        <v>104</v>
      </c>
      <c r="AA76" s="568"/>
      <c r="AB76" s="426"/>
      <c r="AC76" s="439"/>
      <c r="AD76" s="424"/>
      <c r="AE76" s="428"/>
      <c r="AF76" s="415"/>
      <c r="AG76" s="429"/>
      <c r="AH76" s="429"/>
      <c r="AI76" s="415"/>
    </row>
    <row r="77" spans="1:35" ht="27" hidden="1" customHeight="1" x14ac:dyDescent="0.2">
      <c r="B77" s="414"/>
      <c r="C77" s="448"/>
      <c r="D77" s="449"/>
      <c r="E77" s="450"/>
      <c r="F77" s="451"/>
      <c r="G77" s="451"/>
      <c r="H77" s="452"/>
      <c r="I77" s="452"/>
      <c r="J77" s="452"/>
      <c r="K77" s="452"/>
      <c r="L77" s="453"/>
      <c r="M77" s="454"/>
      <c r="N77" s="455"/>
      <c r="O77" s="456"/>
      <c r="P77" s="456"/>
      <c r="Q77" s="456"/>
      <c r="R77" s="457"/>
      <c r="S77" s="458"/>
      <c r="T77" s="497"/>
      <c r="U77" s="567"/>
      <c r="V77" s="459">
        <v>0</v>
      </c>
      <c r="W77" s="454"/>
      <c r="X77" s="460">
        <v>74.400000000000006</v>
      </c>
      <c r="Y77" s="460">
        <v>0</v>
      </c>
      <c r="Z77" s="461" t="s">
        <v>104</v>
      </c>
      <c r="AA77" s="569"/>
      <c r="AB77" s="462"/>
      <c r="AC77" s="463"/>
      <c r="AD77" s="461"/>
      <c r="AE77" s="464"/>
      <c r="AF77" s="452"/>
      <c r="AG77" s="465"/>
      <c r="AH77" s="465"/>
      <c r="AI77" s="452"/>
    </row>
    <row r="78" spans="1:35" ht="27" hidden="1" customHeight="1" x14ac:dyDescent="0.2">
      <c r="B78" s="414"/>
      <c r="C78" s="411"/>
      <c r="D78" s="412"/>
      <c r="E78" s="413"/>
      <c r="F78" s="414"/>
      <c r="G78" s="414"/>
      <c r="H78" s="415"/>
      <c r="I78" s="415"/>
      <c r="J78" s="415"/>
      <c r="K78" s="415"/>
      <c r="L78" s="416"/>
      <c r="M78" s="417"/>
      <c r="N78" s="434"/>
      <c r="O78" s="419"/>
      <c r="P78" s="419"/>
      <c r="Q78" s="419"/>
      <c r="R78" s="447"/>
      <c r="S78" s="437"/>
      <c r="T78" s="496"/>
      <c r="U78" s="561"/>
      <c r="V78" s="441">
        <v>0</v>
      </c>
      <c r="W78" s="417"/>
      <c r="X78" s="423">
        <v>51</v>
      </c>
      <c r="Y78" s="423">
        <v>0</v>
      </c>
      <c r="Z78" s="424" t="s">
        <v>104</v>
      </c>
      <c r="AA78" s="568"/>
      <c r="AB78" s="426"/>
      <c r="AC78" s="439"/>
      <c r="AD78" s="424"/>
      <c r="AE78" s="428"/>
      <c r="AF78" s="415"/>
      <c r="AG78" s="429"/>
      <c r="AH78" s="429"/>
      <c r="AI78" s="415"/>
    </row>
    <row r="79" spans="1:35" ht="27" hidden="1" customHeight="1" x14ac:dyDescent="0.2">
      <c r="B79" s="414"/>
      <c r="C79" s="411"/>
      <c r="D79" s="412"/>
      <c r="E79" s="413"/>
      <c r="F79" s="414"/>
      <c r="G79" s="414"/>
      <c r="H79" s="415"/>
      <c r="I79" s="415"/>
      <c r="J79" s="415"/>
      <c r="K79" s="415"/>
      <c r="L79" s="416"/>
      <c r="M79" s="417"/>
      <c r="N79" s="434"/>
      <c r="O79" s="419"/>
      <c r="P79" s="419"/>
      <c r="Q79" s="419"/>
      <c r="R79" s="447"/>
      <c r="S79" s="437"/>
      <c r="T79" s="496"/>
      <c r="U79" s="561"/>
      <c r="V79" s="441">
        <v>0</v>
      </c>
      <c r="W79" s="417"/>
      <c r="X79" s="423">
        <v>98</v>
      </c>
      <c r="Y79" s="423">
        <v>0</v>
      </c>
      <c r="Z79" s="424" t="s">
        <v>104</v>
      </c>
      <c r="AA79" s="568"/>
      <c r="AB79" s="426"/>
      <c r="AC79" s="439"/>
      <c r="AD79" s="424"/>
      <c r="AE79" s="428"/>
      <c r="AF79" s="415"/>
      <c r="AG79" s="429"/>
      <c r="AH79" s="429"/>
      <c r="AI79" s="415"/>
    </row>
    <row r="80" spans="1:35" ht="36" customHeight="1" x14ac:dyDescent="0.2">
      <c r="B80" s="414"/>
      <c r="C80" s="1024" t="s">
        <v>403</v>
      </c>
      <c r="D80" s="1025"/>
      <c r="E80" s="1025"/>
      <c r="F80" s="1025"/>
      <c r="G80" s="1025"/>
      <c r="H80" s="1025"/>
      <c r="I80" s="1025"/>
      <c r="J80" s="1025"/>
      <c r="K80" s="1025"/>
      <c r="L80" s="1025"/>
      <c r="M80" s="1025"/>
      <c r="N80" s="1025"/>
      <c r="O80" s="1025"/>
      <c r="P80" s="1025"/>
      <c r="Q80" s="1025"/>
      <c r="R80" s="467"/>
      <c r="S80" s="498">
        <f>SUM(S67:S75)</f>
        <v>2014.6</v>
      </c>
      <c r="T80" s="468"/>
      <c r="U80" s="467"/>
      <c r="V80" s="482"/>
      <c r="W80" s="470"/>
      <c r="X80" s="471"/>
      <c r="Y80" s="471"/>
      <c r="Z80" s="570"/>
      <c r="AA80" s="472"/>
      <c r="AB80" s="472"/>
      <c r="AC80" s="472"/>
      <c r="AD80" s="472"/>
      <c r="AE80" s="472"/>
      <c r="AF80" s="472"/>
      <c r="AG80" s="472"/>
      <c r="AH80" s="472"/>
      <c r="AI80" s="484"/>
    </row>
    <row r="81" spans="1:35" s="444" customFormat="1" ht="49" customHeight="1" x14ac:dyDescent="0.2">
      <c r="C81" s="1026" t="s">
        <v>402</v>
      </c>
      <c r="D81" s="1027"/>
      <c r="E81" s="1027"/>
      <c r="F81" s="1027"/>
      <c r="G81" s="1027"/>
      <c r="H81" s="1027"/>
      <c r="I81" s="1027"/>
      <c r="J81" s="1027"/>
      <c r="K81" s="1027"/>
      <c r="L81" s="1027"/>
      <c r="M81" s="1027"/>
      <c r="N81" s="1027"/>
      <c r="O81" s="1027"/>
      <c r="P81" s="1027"/>
      <c r="Q81" s="1027"/>
      <c r="R81" s="474">
        <v>45443</v>
      </c>
      <c r="S81" s="499">
        <f>S27-S66-S80</f>
        <v>1161.0386999999978</v>
      </c>
      <c r="T81" s="475"/>
      <c r="U81" s="475"/>
      <c r="V81" s="571"/>
      <c r="W81" s="475"/>
      <c r="X81" s="475"/>
      <c r="Y81" s="475"/>
      <c r="Z81" s="476"/>
      <c r="AA81" s="475"/>
      <c r="AB81" s="475"/>
      <c r="AC81" s="475"/>
      <c r="AD81" s="475"/>
      <c r="AE81" s="475"/>
      <c r="AF81" s="475"/>
      <c r="AG81" s="475"/>
      <c r="AH81" s="475"/>
      <c r="AI81" s="476"/>
    </row>
    <row r="84" spans="1:35" ht="36" customHeight="1" x14ac:dyDescent="0.2">
      <c r="B84" s="1021" t="s">
        <v>528</v>
      </c>
      <c r="C84" s="1021"/>
      <c r="D84" s="1021"/>
      <c r="E84" s="1021"/>
      <c r="F84" s="1021"/>
      <c r="G84" s="1021"/>
      <c r="H84" s="1021"/>
      <c r="I84" s="1021"/>
      <c r="J84" s="1021"/>
      <c r="K84" s="1021"/>
    </row>
    <row r="86" spans="1:35" ht="68" customHeight="1" x14ac:dyDescent="0.2">
      <c r="A86" s="408"/>
      <c r="B86" s="409" t="s">
        <v>396</v>
      </c>
      <c r="C86" s="1022" t="s">
        <v>394</v>
      </c>
      <c r="D86" s="1023"/>
      <c r="E86" s="485" t="s">
        <v>154</v>
      </c>
      <c r="F86" s="485" t="s">
        <v>142</v>
      </c>
      <c r="G86" s="485" t="s">
        <v>146</v>
      </c>
      <c r="H86" s="486" t="s">
        <v>400</v>
      </c>
      <c r="I86" s="486" t="s">
        <v>398</v>
      </c>
      <c r="J86" s="486" t="s">
        <v>405</v>
      </c>
      <c r="K86" s="486" t="s">
        <v>399</v>
      </c>
      <c r="L86" s="487" t="s">
        <v>401</v>
      </c>
      <c r="M86" s="488" t="s">
        <v>106</v>
      </c>
      <c r="N86" s="486" t="s">
        <v>3</v>
      </c>
      <c r="O86" s="485" t="s">
        <v>4</v>
      </c>
      <c r="P86" s="485" t="s">
        <v>100</v>
      </c>
      <c r="Q86" s="485" t="s">
        <v>5</v>
      </c>
      <c r="R86" s="493" t="s">
        <v>409</v>
      </c>
      <c r="S86" s="489" t="s">
        <v>410</v>
      </c>
      <c r="T86" s="489" t="s">
        <v>157</v>
      </c>
      <c r="U86" s="489" t="s">
        <v>158</v>
      </c>
      <c r="V86" s="490" t="s">
        <v>406</v>
      </c>
      <c r="W86" s="491" t="s">
        <v>8</v>
      </c>
      <c r="X86" s="489" t="s">
        <v>108</v>
      </c>
      <c r="Y86" s="489" t="s">
        <v>109</v>
      </c>
      <c r="Z86" s="491" t="s">
        <v>407</v>
      </c>
      <c r="AA86" s="486" t="s">
        <v>408</v>
      </c>
      <c r="AB86" s="486" t="s">
        <v>155</v>
      </c>
      <c r="AC86" s="486" t="s">
        <v>411</v>
      </c>
      <c r="AD86" s="486" t="s">
        <v>112</v>
      </c>
      <c r="AE86" s="489" t="s">
        <v>107</v>
      </c>
      <c r="AF86" s="492" t="s">
        <v>149</v>
      </c>
      <c r="AG86" s="492" t="s">
        <v>16</v>
      </c>
      <c r="AH86" s="492" t="s">
        <v>151</v>
      </c>
      <c r="AI86" s="492" t="s">
        <v>150</v>
      </c>
    </row>
    <row r="87" spans="1:35" ht="23" hidden="1" customHeight="1" x14ac:dyDescent="0.2">
      <c r="A87" s="408"/>
      <c r="B87" s="410"/>
      <c r="C87" s="494"/>
      <c r="D87" s="495"/>
      <c r="E87" s="413"/>
      <c r="F87" s="414"/>
      <c r="G87" s="414"/>
      <c r="H87" s="414"/>
      <c r="I87" s="415"/>
      <c r="J87" s="415"/>
      <c r="K87" s="415"/>
      <c r="L87" s="416"/>
      <c r="M87" s="417"/>
      <c r="N87" s="434"/>
      <c r="O87" s="435"/>
      <c r="P87" s="435"/>
      <c r="Q87" s="435"/>
      <c r="R87" s="431"/>
      <c r="S87" s="432"/>
      <c r="T87" s="421"/>
      <c r="U87" s="421"/>
      <c r="V87" s="441"/>
      <c r="W87" s="417"/>
      <c r="X87" s="423"/>
      <c r="Y87" s="423"/>
      <c r="Z87" s="424"/>
      <c r="AA87" s="425"/>
      <c r="AB87" s="426"/>
      <c r="AC87" s="427"/>
      <c r="AD87" s="424"/>
      <c r="AE87" s="428"/>
      <c r="AF87" s="415"/>
      <c r="AG87" s="429"/>
      <c r="AH87" s="429"/>
      <c r="AI87" s="415"/>
    </row>
    <row r="88" spans="1:35" ht="23" hidden="1" customHeight="1" x14ac:dyDescent="0.2">
      <c r="A88" s="408"/>
      <c r="B88" s="410"/>
      <c r="C88" s="494"/>
      <c r="D88" s="495"/>
      <c r="E88" s="413"/>
      <c r="F88" s="414"/>
      <c r="G88" s="414"/>
      <c r="H88" s="414"/>
      <c r="I88" s="415"/>
      <c r="J88" s="477"/>
      <c r="K88" s="477"/>
      <c r="L88" s="416"/>
      <c r="M88" s="417"/>
      <c r="N88" s="418"/>
      <c r="O88" s="419"/>
      <c r="P88" s="419"/>
      <c r="Q88" s="419"/>
      <c r="R88" s="420"/>
      <c r="S88" s="437"/>
      <c r="T88" s="437"/>
      <c r="U88" s="437"/>
      <c r="V88" s="441"/>
      <c r="W88" s="417"/>
      <c r="X88" s="423"/>
      <c r="Y88" s="423"/>
      <c r="Z88" s="424"/>
      <c r="AA88" s="425"/>
      <c r="AB88" s="426"/>
      <c r="AC88" s="427"/>
      <c r="AD88" s="424"/>
      <c r="AE88" s="428"/>
      <c r="AF88" s="415"/>
      <c r="AG88" s="429"/>
      <c r="AH88" s="429"/>
      <c r="AI88" s="415"/>
    </row>
    <row r="89" spans="1:35" ht="23" hidden="1" customHeight="1" x14ac:dyDescent="0.2">
      <c r="A89" s="408"/>
      <c r="B89" s="410"/>
      <c r="C89" s="494"/>
      <c r="D89" s="495"/>
      <c r="E89" s="413"/>
      <c r="F89" s="414"/>
      <c r="G89" s="414"/>
      <c r="H89" s="414"/>
      <c r="I89" s="415"/>
      <c r="J89" s="415"/>
      <c r="K89" s="415"/>
      <c r="L89" s="416"/>
      <c r="M89" s="417"/>
      <c r="N89" s="418"/>
      <c r="O89" s="419"/>
      <c r="P89" s="419"/>
      <c r="Q89" s="419"/>
      <c r="R89" s="420"/>
      <c r="S89" s="421"/>
      <c r="T89" s="421"/>
      <c r="U89" s="421"/>
      <c r="V89" s="422"/>
      <c r="W89" s="417"/>
      <c r="X89" s="423"/>
      <c r="Y89" s="423"/>
      <c r="Z89" s="424"/>
      <c r="AA89" s="425"/>
      <c r="AB89" s="426"/>
      <c r="AC89" s="427"/>
      <c r="AD89" s="424"/>
      <c r="AE89" s="428"/>
      <c r="AF89" s="415"/>
      <c r="AG89" s="429"/>
      <c r="AH89" s="429"/>
      <c r="AI89" s="415"/>
    </row>
    <row r="90" spans="1:35" ht="23" hidden="1" customHeight="1" x14ac:dyDescent="0.2">
      <c r="A90" s="408"/>
      <c r="B90" s="410"/>
      <c r="C90" s="494"/>
      <c r="D90" s="495"/>
      <c r="E90" s="413"/>
      <c r="F90" s="414"/>
      <c r="G90" s="414"/>
      <c r="H90" s="414"/>
      <c r="I90" s="415"/>
      <c r="J90" s="415"/>
      <c r="K90" s="415"/>
      <c r="L90" s="430"/>
      <c r="M90" s="417"/>
      <c r="N90" s="418"/>
      <c r="O90" s="419"/>
      <c r="P90" s="419"/>
      <c r="Q90" s="419"/>
      <c r="R90" s="431"/>
      <c r="S90" s="432"/>
      <c r="T90" s="432"/>
      <c r="U90" s="432"/>
      <c r="V90" s="422"/>
      <c r="W90" s="417"/>
      <c r="X90" s="423"/>
      <c r="Y90" s="423"/>
      <c r="Z90" s="433"/>
      <c r="AA90" s="425"/>
      <c r="AB90" s="426"/>
      <c r="AC90" s="427"/>
      <c r="AD90" s="424"/>
      <c r="AE90" s="428"/>
      <c r="AF90" s="415"/>
      <c r="AG90" s="429"/>
      <c r="AH90" s="429"/>
      <c r="AI90" s="415"/>
    </row>
    <row r="91" spans="1:35" ht="23" hidden="1" customHeight="1" x14ac:dyDescent="0.2">
      <c r="A91" s="408"/>
      <c r="B91" s="410"/>
      <c r="C91" s="494"/>
      <c r="D91" s="495"/>
      <c r="E91" s="413"/>
      <c r="F91" s="414"/>
      <c r="G91" s="414"/>
      <c r="H91" s="414"/>
      <c r="I91" s="415"/>
      <c r="J91" s="415"/>
      <c r="K91" s="415"/>
      <c r="L91" s="416"/>
      <c r="M91" s="417"/>
      <c r="N91" s="434"/>
      <c r="O91" s="435"/>
      <c r="P91" s="435"/>
      <c r="Q91" s="435"/>
      <c r="R91" s="436"/>
      <c r="S91" s="437"/>
      <c r="T91" s="437"/>
      <c r="U91" s="437"/>
      <c r="V91" s="422"/>
      <c r="W91" s="417"/>
      <c r="X91" s="423"/>
      <c r="Y91" s="423"/>
      <c r="Z91" s="424"/>
      <c r="AA91" s="425"/>
      <c r="AB91" s="426"/>
      <c r="AC91" s="438"/>
      <c r="AD91" s="424"/>
      <c r="AE91" s="428"/>
      <c r="AF91" s="415"/>
      <c r="AG91" s="429"/>
      <c r="AH91" s="429"/>
      <c r="AI91" s="415"/>
    </row>
    <row r="92" spans="1:35" ht="23" hidden="1" customHeight="1" x14ac:dyDescent="0.2">
      <c r="A92" s="408"/>
      <c r="B92" s="410"/>
      <c r="C92" s="494"/>
      <c r="D92" s="495"/>
      <c r="E92" s="413"/>
      <c r="F92" s="414"/>
      <c r="G92" s="414"/>
      <c r="H92" s="415"/>
      <c r="I92" s="415"/>
      <c r="J92" s="415"/>
      <c r="K92" s="415"/>
      <c r="L92" s="416"/>
      <c r="M92" s="417"/>
      <c r="N92" s="418"/>
      <c r="O92" s="419"/>
      <c r="P92" s="419"/>
      <c r="Q92" s="419"/>
      <c r="R92" s="420"/>
      <c r="S92" s="437"/>
      <c r="T92" s="437"/>
      <c r="U92" s="437"/>
      <c r="V92" s="422"/>
      <c r="W92" s="417"/>
      <c r="X92" s="423"/>
      <c r="Y92" s="423"/>
      <c r="Z92" s="424"/>
      <c r="AA92" s="425"/>
      <c r="AB92" s="426"/>
      <c r="AC92" s="439"/>
      <c r="AD92" s="426"/>
      <c r="AE92" s="428"/>
      <c r="AF92" s="440"/>
      <c r="AG92" s="429"/>
      <c r="AH92" s="429"/>
      <c r="AI92" s="415"/>
    </row>
    <row r="93" spans="1:35" ht="23" hidden="1" customHeight="1" x14ac:dyDescent="0.2">
      <c r="A93" s="408"/>
      <c r="B93" s="410"/>
      <c r="C93" s="494"/>
      <c r="D93" s="495"/>
      <c r="E93" s="413"/>
      <c r="F93" s="414"/>
      <c r="G93" s="414"/>
      <c r="H93" s="414"/>
      <c r="I93" s="415"/>
      <c r="J93" s="415"/>
      <c r="K93" s="415"/>
      <c r="L93" s="416"/>
      <c r="M93" s="417"/>
      <c r="N93" s="418"/>
      <c r="O93" s="419"/>
      <c r="P93" s="419"/>
      <c r="Q93" s="419"/>
      <c r="R93" s="420"/>
      <c r="S93" s="437"/>
      <c r="T93" s="437"/>
      <c r="U93" s="437"/>
      <c r="V93" s="441"/>
      <c r="W93" s="417"/>
      <c r="X93" s="423"/>
      <c r="Y93" s="423"/>
      <c r="Z93" s="424"/>
      <c r="AA93" s="425"/>
      <c r="AB93" s="426"/>
      <c r="AC93" s="439"/>
      <c r="AD93" s="424"/>
      <c r="AE93" s="428"/>
      <c r="AF93" s="415"/>
      <c r="AG93" s="429"/>
      <c r="AH93" s="429"/>
      <c r="AI93" s="415"/>
    </row>
    <row r="94" spans="1:35" ht="23" hidden="1" customHeight="1" x14ac:dyDescent="0.2">
      <c r="A94" s="408"/>
      <c r="B94" s="410"/>
      <c r="C94" s="494"/>
      <c r="D94" s="495"/>
      <c r="E94" s="413"/>
      <c r="F94" s="414"/>
      <c r="G94" s="414"/>
      <c r="H94" s="415"/>
      <c r="I94" s="415"/>
      <c r="J94" s="415"/>
      <c r="K94" s="415"/>
      <c r="L94" s="416"/>
      <c r="M94" s="417"/>
      <c r="N94" s="434"/>
      <c r="O94" s="419"/>
      <c r="P94" s="419"/>
      <c r="Q94" s="419"/>
      <c r="R94" s="420"/>
      <c r="S94" s="437"/>
      <c r="T94" s="437"/>
      <c r="U94" s="437"/>
      <c r="V94" s="441"/>
      <c r="W94" s="417"/>
      <c r="X94" s="423"/>
      <c r="Y94" s="423"/>
      <c r="Z94" s="424"/>
      <c r="AA94" s="425"/>
      <c r="AB94" s="426"/>
      <c r="AC94" s="439"/>
      <c r="AD94" s="424"/>
      <c r="AE94" s="428"/>
      <c r="AF94" s="415"/>
      <c r="AG94" s="429"/>
      <c r="AH94" s="429"/>
      <c r="AI94" s="415"/>
    </row>
    <row r="95" spans="1:35" ht="23" hidden="1" customHeight="1" x14ac:dyDescent="0.2">
      <c r="A95" s="408"/>
      <c r="B95" s="410"/>
      <c r="C95" s="494"/>
      <c r="D95" s="495"/>
      <c r="E95" s="413"/>
      <c r="F95" s="414"/>
      <c r="G95" s="414"/>
      <c r="H95" s="414"/>
      <c r="I95" s="415"/>
      <c r="J95" s="415"/>
      <c r="K95" s="415"/>
      <c r="L95" s="416"/>
      <c r="M95" s="417"/>
      <c r="N95" s="434"/>
      <c r="O95" s="419"/>
      <c r="P95" s="419"/>
      <c r="Q95" s="419"/>
      <c r="R95" s="420"/>
      <c r="S95" s="437"/>
      <c r="T95" s="437"/>
      <c r="U95" s="437"/>
      <c r="V95" s="441"/>
      <c r="W95" s="417"/>
      <c r="X95" s="423"/>
      <c r="Y95" s="423"/>
      <c r="Z95" s="424"/>
      <c r="AA95" s="425"/>
      <c r="AB95" s="426"/>
      <c r="AC95" s="439"/>
      <c r="AD95" s="424"/>
      <c r="AE95" s="428"/>
      <c r="AF95" s="415"/>
      <c r="AG95" s="429"/>
      <c r="AH95" s="429"/>
      <c r="AI95" s="415"/>
    </row>
    <row r="96" spans="1:35" ht="23" hidden="1" customHeight="1" x14ac:dyDescent="0.2">
      <c r="A96" s="408"/>
      <c r="B96" s="410"/>
      <c r="C96" s="494"/>
      <c r="D96" s="495"/>
      <c r="E96" s="413"/>
      <c r="F96" s="414"/>
      <c r="G96" s="414"/>
      <c r="H96" s="415"/>
      <c r="I96" s="415"/>
      <c r="J96" s="415"/>
      <c r="K96" s="415"/>
      <c r="L96" s="416"/>
      <c r="M96" s="417"/>
      <c r="N96" s="434"/>
      <c r="O96" s="419"/>
      <c r="P96" s="419"/>
      <c r="Q96" s="419"/>
      <c r="R96" s="442"/>
      <c r="S96" s="437"/>
      <c r="T96" s="437"/>
      <c r="U96" s="437"/>
      <c r="V96" s="441"/>
      <c r="W96" s="417"/>
      <c r="X96" s="423"/>
      <c r="Y96" s="423"/>
      <c r="Z96" s="424"/>
      <c r="AA96" s="425"/>
      <c r="AB96" s="426"/>
      <c r="AC96" s="439"/>
      <c r="AD96" s="424"/>
      <c r="AE96" s="428"/>
      <c r="AF96" s="415"/>
      <c r="AG96" s="429"/>
      <c r="AH96" s="429"/>
      <c r="AI96" s="415"/>
    </row>
    <row r="97" spans="1:35" ht="23" hidden="1" customHeight="1" x14ac:dyDescent="0.2">
      <c r="A97" s="408"/>
      <c r="B97" s="410"/>
      <c r="C97" s="494"/>
      <c r="D97" s="495"/>
      <c r="E97" s="413"/>
      <c r="F97" s="414"/>
      <c r="G97" s="414"/>
      <c r="H97" s="415"/>
      <c r="I97" s="415"/>
      <c r="J97" s="415"/>
      <c r="K97" s="415"/>
      <c r="L97" s="416"/>
      <c r="M97" s="417"/>
      <c r="N97" s="434"/>
      <c r="O97" s="419"/>
      <c r="P97" s="419"/>
      <c r="Q97" s="419"/>
      <c r="R97" s="420"/>
      <c r="S97" s="437"/>
      <c r="T97" s="437"/>
      <c r="U97" s="437"/>
      <c r="V97" s="441"/>
      <c r="W97" s="417"/>
      <c r="X97" s="423"/>
      <c r="Y97" s="423"/>
      <c r="Z97" s="424"/>
      <c r="AA97" s="425"/>
      <c r="AB97" s="426"/>
      <c r="AC97" s="439"/>
      <c r="AD97" s="424"/>
      <c r="AE97" s="428"/>
      <c r="AF97" s="415"/>
      <c r="AG97" s="429"/>
      <c r="AH97" s="429"/>
      <c r="AI97" s="415"/>
    </row>
    <row r="98" spans="1:35" ht="23" hidden="1" customHeight="1" x14ac:dyDescent="0.2">
      <c r="A98" s="408"/>
      <c r="B98" s="410"/>
      <c r="C98" s="494"/>
      <c r="D98" s="495"/>
      <c r="E98" s="413"/>
      <c r="F98" s="414"/>
      <c r="G98" s="414"/>
      <c r="H98" s="440"/>
      <c r="I98" s="440"/>
      <c r="J98" s="440"/>
      <c r="K98" s="440"/>
      <c r="L98" s="478"/>
      <c r="M98" s="479"/>
      <c r="N98" s="439"/>
      <c r="O98" s="419"/>
      <c r="P98" s="419"/>
      <c r="Q98" s="419"/>
      <c r="R98" s="480"/>
      <c r="S98" s="421"/>
      <c r="T98" s="421"/>
      <c r="U98" s="421"/>
      <c r="V98" s="422"/>
      <c r="W98" s="479"/>
      <c r="X98" s="423"/>
      <c r="Y98" s="423"/>
      <c r="Z98" s="426"/>
      <c r="AA98" s="425"/>
      <c r="AB98" s="426"/>
      <c r="AC98" s="439"/>
      <c r="AD98" s="424"/>
      <c r="AE98" s="428"/>
      <c r="AF98" s="415"/>
      <c r="AG98" s="429"/>
      <c r="AH98" s="429"/>
      <c r="AI98" s="415"/>
    </row>
    <row r="99" spans="1:35" ht="23" hidden="1" customHeight="1" x14ac:dyDescent="0.2">
      <c r="A99" s="408"/>
      <c r="B99" s="410"/>
      <c r="C99" s="494"/>
      <c r="D99" s="495"/>
      <c r="E99" s="413"/>
      <c r="F99" s="414"/>
      <c r="G99" s="414"/>
      <c r="H99" s="415"/>
      <c r="I99" s="415"/>
      <c r="J99" s="415"/>
      <c r="K99" s="415"/>
      <c r="L99" s="416"/>
      <c r="M99" s="417"/>
      <c r="N99" s="418"/>
      <c r="O99" s="419"/>
      <c r="P99" s="419"/>
      <c r="Q99" s="419"/>
      <c r="R99" s="420"/>
      <c r="S99" s="437"/>
      <c r="T99" s="437"/>
      <c r="U99" s="437"/>
      <c r="V99" s="441"/>
      <c r="W99" s="417"/>
      <c r="X99" s="423"/>
      <c r="Y99" s="423"/>
      <c r="Z99" s="424"/>
      <c r="AA99" s="425"/>
      <c r="AB99" s="426"/>
      <c r="AC99" s="439"/>
      <c r="AD99" s="424"/>
      <c r="AE99" s="428"/>
      <c r="AF99" s="415"/>
      <c r="AG99" s="429"/>
      <c r="AH99" s="429"/>
      <c r="AI99" s="415"/>
    </row>
    <row r="100" spans="1:35" ht="23" hidden="1" customHeight="1" x14ac:dyDescent="0.2">
      <c r="A100" s="408"/>
      <c r="B100" s="410"/>
      <c r="C100" s="494"/>
      <c r="D100" s="495"/>
      <c r="E100" s="413"/>
      <c r="F100" s="414"/>
      <c r="G100" s="414"/>
      <c r="H100" s="415"/>
      <c r="I100" s="415"/>
      <c r="J100" s="415"/>
      <c r="K100" s="415"/>
      <c r="L100" s="416"/>
      <c r="M100" s="417"/>
      <c r="N100" s="434"/>
      <c r="O100" s="419"/>
      <c r="P100" s="419"/>
      <c r="Q100" s="419"/>
      <c r="R100" s="443"/>
      <c r="S100" s="437"/>
      <c r="T100" s="421"/>
      <c r="U100" s="421"/>
      <c r="V100" s="441"/>
      <c r="W100" s="417"/>
      <c r="X100" s="423"/>
      <c r="Y100" s="423"/>
      <c r="Z100" s="424"/>
      <c r="AA100" s="425"/>
      <c r="AB100" s="426"/>
      <c r="AC100" s="439"/>
      <c r="AD100" s="424"/>
      <c r="AE100" s="428"/>
      <c r="AF100" s="415"/>
      <c r="AG100" s="429"/>
      <c r="AH100" s="429"/>
      <c r="AI100" s="415"/>
    </row>
    <row r="101" spans="1:35" ht="32" customHeight="1" x14ac:dyDescent="0.2">
      <c r="B101" s="481" t="s">
        <v>397</v>
      </c>
      <c r="C101" s="1024" t="s">
        <v>414</v>
      </c>
      <c r="D101" s="1025"/>
      <c r="E101" s="1025"/>
      <c r="F101" s="1025"/>
      <c r="G101" s="1025"/>
      <c r="H101" s="1025"/>
      <c r="I101" s="1025"/>
      <c r="J101" s="1025"/>
      <c r="K101" s="1025"/>
      <c r="L101" s="1025"/>
      <c r="M101" s="1025"/>
      <c r="N101" s="1025"/>
      <c r="O101" s="1025"/>
      <c r="P101" s="1025"/>
      <c r="Q101" s="1025"/>
      <c r="R101" s="445"/>
      <c r="S101" s="511">
        <f>SUM(S87:S100)</f>
        <v>0</v>
      </c>
      <c r="T101" s="446"/>
      <c r="U101" s="482"/>
      <c r="V101" s="469"/>
      <c r="W101" s="469"/>
      <c r="X101" s="469"/>
      <c r="Y101" s="469"/>
      <c r="Z101" s="469"/>
      <c r="AA101" s="469"/>
      <c r="AB101" s="469"/>
      <c r="AC101" s="469"/>
      <c r="AD101" s="469"/>
      <c r="AE101" s="469"/>
      <c r="AF101" s="469"/>
      <c r="AG101" s="469"/>
      <c r="AH101" s="469"/>
      <c r="AI101" s="483"/>
    </row>
    <row r="102" spans="1:35" s="172" customFormat="1" ht="33" customHeight="1" x14ac:dyDescent="0.25">
      <c r="A102" s="316"/>
      <c r="B102" s="288"/>
      <c r="C102" s="494" t="s">
        <v>431</v>
      </c>
      <c r="D102" s="500" t="s">
        <v>233</v>
      </c>
      <c r="E102" s="501" t="s">
        <v>380</v>
      </c>
      <c r="F102" s="502" t="s">
        <v>144</v>
      </c>
      <c r="G102" s="502" t="s">
        <v>39</v>
      </c>
      <c r="H102" s="503"/>
      <c r="I102" s="503"/>
      <c r="J102" s="503"/>
      <c r="K102" s="503"/>
      <c r="L102" s="504">
        <v>45437</v>
      </c>
      <c r="M102" s="505">
        <f t="shared" ref="M102:M103" si="11">L102</f>
        <v>45437</v>
      </c>
      <c r="N102" s="506" t="s">
        <v>454</v>
      </c>
      <c r="O102" s="507" t="s">
        <v>455</v>
      </c>
      <c r="P102" s="507" t="s">
        <v>80</v>
      </c>
      <c r="Q102" s="507" t="s">
        <v>77</v>
      </c>
      <c r="R102" s="508"/>
      <c r="S102" s="509">
        <v>71.400000000000006</v>
      </c>
      <c r="T102" s="509">
        <f>S102</f>
        <v>71.400000000000006</v>
      </c>
      <c r="U102" s="572">
        <v>0</v>
      </c>
      <c r="V102" s="510">
        <v>45442</v>
      </c>
      <c r="W102" s="505">
        <f t="shared" ref="W102:W104" si="12">V102</f>
        <v>45442</v>
      </c>
      <c r="X102" s="511">
        <f t="shared" ref="X102:X104" si="13">T102+U102</f>
        <v>71.400000000000006</v>
      </c>
      <c r="Y102" s="511">
        <f t="shared" ref="Y102:Y104" si="14">S102-X102</f>
        <v>0</v>
      </c>
      <c r="Z102" s="512" t="s">
        <v>14</v>
      </c>
      <c r="AA102" s="573" t="str">
        <f t="shared" ref="AA102:AA104" si="15">G102</f>
        <v>RABONA</v>
      </c>
      <c r="AB102" s="513" t="str">
        <f t="shared" ref="AB102:AB104" si="16">IF(Y102&gt;0,"PENDING EXECUTION","COMPLETED")</f>
        <v>COMPLETED</v>
      </c>
      <c r="AC102" s="514"/>
      <c r="AD102" s="512"/>
      <c r="AE102" s="515">
        <f t="shared" ref="AE102:AE104" si="17">IF(AA102=$AD$5,S102,0)</f>
        <v>0</v>
      </c>
      <c r="AF102" s="503"/>
      <c r="AG102" s="516">
        <f t="shared" ref="AG102:AG104" si="18">IF(Z102=$AG$5,X102,0)</f>
        <v>0</v>
      </c>
      <c r="AH102" s="516">
        <f t="shared" ref="AH102:AH104" si="19">IF(AA102=$AH$5,X102,0)</f>
        <v>0</v>
      </c>
      <c r="AI102" s="503" t="s">
        <v>58</v>
      </c>
    </row>
    <row r="103" spans="1:35" s="172" customFormat="1" ht="33" customHeight="1" x14ac:dyDescent="0.25">
      <c r="A103" s="316"/>
      <c r="B103" s="288"/>
      <c r="C103" s="494" t="s">
        <v>431</v>
      </c>
      <c r="D103" s="500" t="s">
        <v>234</v>
      </c>
      <c r="E103" s="501" t="s">
        <v>380</v>
      </c>
      <c r="F103" s="502" t="s">
        <v>144</v>
      </c>
      <c r="G103" s="502" t="s">
        <v>39</v>
      </c>
      <c r="H103" s="503"/>
      <c r="I103" s="503"/>
      <c r="J103" s="503"/>
      <c r="K103" s="503"/>
      <c r="L103" s="504">
        <v>45436</v>
      </c>
      <c r="M103" s="505">
        <f t="shared" si="11"/>
        <v>45436</v>
      </c>
      <c r="N103" s="506" t="s">
        <v>456</v>
      </c>
      <c r="O103" s="507" t="s">
        <v>138</v>
      </c>
      <c r="P103" s="507" t="s">
        <v>94</v>
      </c>
      <c r="Q103" s="507" t="s">
        <v>90</v>
      </c>
      <c r="R103" s="508"/>
      <c r="S103" s="509">
        <v>3</v>
      </c>
      <c r="T103" s="509">
        <f t="shared" ref="T103:T104" si="20">S103</f>
        <v>3</v>
      </c>
      <c r="U103" s="572">
        <v>0</v>
      </c>
      <c r="V103" s="510">
        <f>L103</f>
        <v>45436</v>
      </c>
      <c r="W103" s="505">
        <f t="shared" si="12"/>
        <v>45436</v>
      </c>
      <c r="X103" s="511">
        <f t="shared" si="13"/>
        <v>3</v>
      </c>
      <c r="Y103" s="511">
        <f t="shared" si="14"/>
        <v>0</v>
      </c>
      <c r="Z103" s="512" t="s">
        <v>14</v>
      </c>
      <c r="AA103" s="573" t="str">
        <f t="shared" si="15"/>
        <v>RABONA</v>
      </c>
      <c r="AB103" s="513" t="str">
        <f t="shared" si="16"/>
        <v>COMPLETED</v>
      </c>
      <c r="AC103" s="514"/>
      <c r="AD103" s="512"/>
      <c r="AE103" s="515">
        <f t="shared" si="17"/>
        <v>0</v>
      </c>
      <c r="AF103" s="503"/>
      <c r="AG103" s="516">
        <f t="shared" si="18"/>
        <v>0</v>
      </c>
      <c r="AH103" s="516">
        <f t="shared" si="19"/>
        <v>0</v>
      </c>
      <c r="AI103" s="503" t="s">
        <v>58</v>
      </c>
    </row>
    <row r="104" spans="1:35" s="172" customFormat="1" ht="33" customHeight="1" x14ac:dyDescent="0.25">
      <c r="A104" s="316"/>
      <c r="B104" s="288"/>
      <c r="C104" s="494" t="s">
        <v>431</v>
      </c>
      <c r="D104" s="500" t="s">
        <v>235</v>
      </c>
      <c r="E104" s="501" t="s">
        <v>380</v>
      </c>
      <c r="F104" s="502" t="s">
        <v>144</v>
      </c>
      <c r="G104" s="502" t="s">
        <v>39</v>
      </c>
      <c r="H104" s="503"/>
      <c r="I104" s="503"/>
      <c r="J104" s="503"/>
      <c r="K104" s="503"/>
      <c r="L104" s="504">
        <v>45434</v>
      </c>
      <c r="M104" s="505">
        <f>L104</f>
        <v>45434</v>
      </c>
      <c r="N104" s="506" t="s">
        <v>457</v>
      </c>
      <c r="O104" s="507" t="s">
        <v>458</v>
      </c>
      <c r="P104" s="507" t="s">
        <v>80</v>
      </c>
      <c r="Q104" s="507" t="s">
        <v>77</v>
      </c>
      <c r="R104" s="508"/>
      <c r="S104" s="509">
        <v>130</v>
      </c>
      <c r="T104" s="509">
        <f t="shared" si="20"/>
        <v>130</v>
      </c>
      <c r="U104" s="572">
        <v>0</v>
      </c>
      <c r="V104" s="510">
        <v>45434</v>
      </c>
      <c r="W104" s="505">
        <f t="shared" si="12"/>
        <v>45434</v>
      </c>
      <c r="X104" s="511">
        <f t="shared" si="13"/>
        <v>130</v>
      </c>
      <c r="Y104" s="511">
        <f t="shared" si="14"/>
        <v>0</v>
      </c>
      <c r="Z104" s="512" t="s">
        <v>14</v>
      </c>
      <c r="AA104" s="573" t="str">
        <f t="shared" si="15"/>
        <v>RABONA</v>
      </c>
      <c r="AB104" s="513" t="str">
        <f t="shared" si="16"/>
        <v>COMPLETED</v>
      </c>
      <c r="AC104" s="514"/>
      <c r="AD104" s="512"/>
      <c r="AE104" s="515">
        <f t="shared" si="17"/>
        <v>0</v>
      </c>
      <c r="AF104" s="503"/>
      <c r="AG104" s="516">
        <f t="shared" si="18"/>
        <v>0</v>
      </c>
      <c r="AH104" s="516">
        <f t="shared" si="19"/>
        <v>0</v>
      </c>
      <c r="AI104" s="503" t="s">
        <v>58</v>
      </c>
    </row>
    <row r="105" spans="1:35" s="444" customFormat="1" ht="36" customHeight="1" x14ac:dyDescent="0.2">
      <c r="B105" s="466"/>
      <c r="C105" s="1024" t="s">
        <v>412</v>
      </c>
      <c r="D105" s="1025"/>
      <c r="E105" s="1025"/>
      <c r="F105" s="1025"/>
      <c r="G105" s="1025"/>
      <c r="H105" s="1025"/>
      <c r="I105" s="1025"/>
      <c r="J105" s="1025"/>
      <c r="K105" s="1025"/>
      <c r="L105" s="1025"/>
      <c r="M105" s="1025"/>
      <c r="N105" s="1025"/>
      <c r="O105" s="1025"/>
      <c r="P105" s="1025"/>
      <c r="Q105" s="1025"/>
      <c r="R105" s="467"/>
      <c r="S105" s="498">
        <f>SUM(S102:S104)</f>
        <v>204.4</v>
      </c>
      <c r="T105" s="468"/>
      <c r="U105" s="467"/>
      <c r="V105" s="482"/>
      <c r="W105" s="470"/>
      <c r="X105" s="471"/>
      <c r="Y105" s="471"/>
      <c r="Z105" s="570"/>
      <c r="AA105" s="472"/>
      <c r="AB105" s="472"/>
      <c r="AC105" s="472"/>
      <c r="AD105" s="472"/>
      <c r="AE105" s="472"/>
      <c r="AF105" s="472"/>
      <c r="AG105" s="472"/>
      <c r="AH105" s="472"/>
      <c r="AI105" s="484"/>
    </row>
    <row r="106" spans="1:35" ht="23" hidden="1" customHeight="1" x14ac:dyDescent="0.2">
      <c r="B106" s="414"/>
      <c r="C106" s="411"/>
      <c r="D106" s="412"/>
      <c r="E106" s="413"/>
      <c r="F106" s="414"/>
      <c r="G106" s="414"/>
      <c r="H106" s="415"/>
      <c r="I106" s="415"/>
      <c r="J106" s="415"/>
      <c r="K106" s="415"/>
      <c r="L106" s="416"/>
      <c r="M106" s="417"/>
      <c r="N106" s="434"/>
      <c r="O106" s="419"/>
      <c r="P106" s="419"/>
      <c r="Q106" s="419"/>
      <c r="R106" s="447"/>
      <c r="S106" s="437">
        <v>0</v>
      </c>
      <c r="T106" s="496"/>
      <c r="U106" s="561"/>
      <c r="V106" s="441"/>
      <c r="W106" s="417"/>
      <c r="X106" s="423"/>
      <c r="Y106" s="423"/>
      <c r="Z106" s="424"/>
      <c r="AA106" s="568"/>
      <c r="AB106" s="426"/>
      <c r="AC106" s="439"/>
      <c r="AD106" s="424"/>
      <c r="AE106" s="428"/>
      <c r="AF106" s="415"/>
      <c r="AG106" s="429"/>
      <c r="AH106" s="429"/>
      <c r="AI106" s="415"/>
    </row>
    <row r="107" spans="1:35" ht="23" hidden="1" customHeight="1" x14ac:dyDescent="0.2">
      <c r="B107" s="414"/>
      <c r="C107" s="411"/>
      <c r="D107" s="412"/>
      <c r="E107" s="413"/>
      <c r="F107" s="414"/>
      <c r="G107" s="414"/>
      <c r="H107" s="415"/>
      <c r="I107" s="415"/>
      <c r="J107" s="415"/>
      <c r="K107" s="415"/>
      <c r="L107" s="416"/>
      <c r="M107" s="417"/>
      <c r="N107" s="434"/>
      <c r="O107" s="419"/>
      <c r="P107" s="419"/>
      <c r="Q107" s="419"/>
      <c r="R107" s="447"/>
      <c r="S107" s="437"/>
      <c r="T107" s="496"/>
      <c r="U107" s="561"/>
      <c r="V107" s="441"/>
      <c r="W107" s="417"/>
      <c r="X107" s="423"/>
      <c r="Y107" s="423"/>
      <c r="Z107" s="424"/>
      <c r="AA107" s="568"/>
      <c r="AB107" s="426"/>
      <c r="AC107" s="439"/>
      <c r="AD107" s="424"/>
      <c r="AE107" s="428"/>
      <c r="AF107" s="415"/>
      <c r="AG107" s="429"/>
      <c r="AH107" s="429"/>
      <c r="AI107" s="415"/>
    </row>
    <row r="108" spans="1:35" ht="23" hidden="1" customHeight="1" x14ac:dyDescent="0.2">
      <c r="B108" s="414"/>
      <c r="C108" s="411"/>
      <c r="D108" s="412"/>
      <c r="E108" s="413"/>
      <c r="F108" s="414"/>
      <c r="G108" s="414"/>
      <c r="H108" s="415"/>
      <c r="I108" s="415"/>
      <c r="J108" s="415"/>
      <c r="K108" s="415"/>
      <c r="L108" s="416"/>
      <c r="M108" s="417"/>
      <c r="N108" s="434"/>
      <c r="O108" s="419"/>
      <c r="P108" s="419"/>
      <c r="Q108" s="419"/>
      <c r="R108" s="447"/>
      <c r="S108" s="437"/>
      <c r="T108" s="496"/>
      <c r="U108" s="561"/>
      <c r="V108" s="441"/>
      <c r="W108" s="417"/>
      <c r="X108" s="423"/>
      <c r="Y108" s="423"/>
      <c r="Z108" s="424"/>
      <c r="AA108" s="568"/>
      <c r="AB108" s="426"/>
      <c r="AC108" s="439"/>
      <c r="AD108" s="424"/>
      <c r="AE108" s="428"/>
      <c r="AF108" s="415"/>
      <c r="AG108" s="429"/>
      <c r="AH108" s="429"/>
      <c r="AI108" s="415"/>
    </row>
    <row r="109" spans="1:35" ht="23" hidden="1" customHeight="1" x14ac:dyDescent="0.2">
      <c r="B109" s="414"/>
      <c r="C109" s="411"/>
      <c r="D109" s="412"/>
      <c r="E109" s="413"/>
      <c r="F109" s="414"/>
      <c r="G109" s="414"/>
      <c r="H109" s="415"/>
      <c r="I109" s="415"/>
      <c r="J109" s="415"/>
      <c r="K109" s="415"/>
      <c r="L109" s="416"/>
      <c r="M109" s="417"/>
      <c r="N109" s="434"/>
      <c r="O109" s="419"/>
      <c r="P109" s="419"/>
      <c r="Q109" s="419"/>
      <c r="R109" s="447"/>
      <c r="S109" s="437"/>
      <c r="T109" s="496"/>
      <c r="U109" s="561"/>
      <c r="V109" s="441"/>
      <c r="W109" s="417"/>
      <c r="X109" s="423"/>
      <c r="Y109" s="423"/>
      <c r="Z109" s="424"/>
      <c r="AA109" s="568"/>
      <c r="AB109" s="426"/>
      <c r="AC109" s="439"/>
      <c r="AD109" s="424"/>
      <c r="AE109" s="428"/>
      <c r="AF109" s="415"/>
      <c r="AG109" s="429"/>
      <c r="AH109" s="429"/>
      <c r="AI109" s="415"/>
    </row>
    <row r="110" spans="1:35" ht="23" hidden="1" customHeight="1" x14ac:dyDescent="0.2">
      <c r="B110" s="414"/>
      <c r="C110" s="411"/>
      <c r="D110" s="412"/>
      <c r="E110" s="413"/>
      <c r="F110" s="414"/>
      <c r="G110" s="414"/>
      <c r="H110" s="415"/>
      <c r="I110" s="415"/>
      <c r="J110" s="415"/>
      <c r="K110" s="415"/>
      <c r="L110" s="416"/>
      <c r="M110" s="417"/>
      <c r="N110" s="434"/>
      <c r="O110" s="419"/>
      <c r="P110" s="419"/>
      <c r="Q110" s="419"/>
      <c r="R110" s="447"/>
      <c r="S110" s="437"/>
      <c r="T110" s="496"/>
      <c r="U110" s="561"/>
      <c r="V110" s="441"/>
      <c r="W110" s="417"/>
      <c r="X110" s="423"/>
      <c r="Y110" s="423"/>
      <c r="Z110" s="424"/>
      <c r="AA110" s="568"/>
      <c r="AB110" s="426"/>
      <c r="AC110" s="439"/>
      <c r="AD110" s="424"/>
      <c r="AE110" s="428"/>
      <c r="AF110" s="415"/>
      <c r="AG110" s="429"/>
      <c r="AH110" s="429"/>
      <c r="AI110" s="415"/>
    </row>
    <row r="111" spans="1:35" ht="23" hidden="1" customHeight="1" x14ac:dyDescent="0.2">
      <c r="B111" s="414"/>
      <c r="C111" s="411"/>
      <c r="D111" s="412"/>
      <c r="E111" s="413"/>
      <c r="F111" s="414"/>
      <c r="G111" s="414"/>
      <c r="H111" s="415"/>
      <c r="I111" s="415"/>
      <c r="J111" s="415"/>
      <c r="K111" s="415"/>
      <c r="L111" s="416"/>
      <c r="M111" s="417"/>
      <c r="N111" s="434"/>
      <c r="O111" s="419"/>
      <c r="P111" s="419"/>
      <c r="Q111" s="419"/>
      <c r="R111" s="447"/>
      <c r="S111" s="437"/>
      <c r="T111" s="496"/>
      <c r="U111" s="561"/>
      <c r="V111" s="441"/>
      <c r="W111" s="417"/>
      <c r="X111" s="423"/>
      <c r="Y111" s="423"/>
      <c r="Z111" s="424"/>
      <c r="AA111" s="568"/>
      <c r="AB111" s="426"/>
      <c r="AC111" s="439"/>
      <c r="AD111" s="424"/>
      <c r="AE111" s="428"/>
      <c r="AF111" s="415"/>
      <c r="AG111" s="429"/>
      <c r="AH111" s="429"/>
      <c r="AI111" s="415"/>
    </row>
    <row r="112" spans="1:35" ht="23" hidden="1" customHeight="1" x14ac:dyDescent="0.2">
      <c r="B112" s="414"/>
      <c r="C112" s="411"/>
      <c r="D112" s="412"/>
      <c r="E112" s="413"/>
      <c r="F112" s="414"/>
      <c r="G112" s="414"/>
      <c r="H112" s="415"/>
      <c r="I112" s="415"/>
      <c r="J112" s="415"/>
      <c r="K112" s="415"/>
      <c r="L112" s="416"/>
      <c r="M112" s="417"/>
      <c r="N112" s="434"/>
      <c r="O112" s="419"/>
      <c r="P112" s="419"/>
      <c r="Q112" s="419"/>
      <c r="R112" s="447"/>
      <c r="S112" s="437"/>
      <c r="T112" s="496"/>
      <c r="U112" s="561"/>
      <c r="V112" s="441"/>
      <c r="W112" s="417"/>
      <c r="X112" s="423"/>
      <c r="Y112" s="423"/>
      <c r="Z112" s="424"/>
      <c r="AA112" s="568"/>
      <c r="AB112" s="426"/>
      <c r="AC112" s="439"/>
      <c r="AD112" s="424"/>
      <c r="AE112" s="428"/>
      <c r="AF112" s="415"/>
      <c r="AG112" s="429"/>
      <c r="AH112" s="429"/>
      <c r="AI112" s="415"/>
    </row>
    <row r="113" spans="2:35" ht="23" hidden="1" customHeight="1" x14ac:dyDescent="0.2">
      <c r="B113" s="414"/>
      <c r="C113" s="448"/>
      <c r="D113" s="449"/>
      <c r="E113" s="450"/>
      <c r="F113" s="451"/>
      <c r="G113" s="451"/>
      <c r="H113" s="452"/>
      <c r="I113" s="452"/>
      <c r="J113" s="452"/>
      <c r="K113" s="452"/>
      <c r="L113" s="453"/>
      <c r="M113" s="454"/>
      <c r="N113" s="455"/>
      <c r="O113" s="456"/>
      <c r="P113" s="456"/>
      <c r="Q113" s="456"/>
      <c r="R113" s="457"/>
      <c r="S113" s="458"/>
      <c r="T113" s="497"/>
      <c r="U113" s="567"/>
      <c r="V113" s="459"/>
      <c r="W113" s="454"/>
      <c r="X113" s="460"/>
      <c r="Y113" s="460"/>
      <c r="Z113" s="461"/>
      <c r="AA113" s="569"/>
      <c r="AB113" s="462"/>
      <c r="AC113" s="463"/>
      <c r="AD113" s="461"/>
      <c r="AE113" s="464"/>
      <c r="AF113" s="452"/>
      <c r="AG113" s="465"/>
      <c r="AH113" s="465"/>
      <c r="AI113" s="452"/>
    </row>
    <row r="114" spans="2:35" ht="23" hidden="1" customHeight="1" x14ac:dyDescent="0.2">
      <c r="B114" s="414"/>
      <c r="C114" s="411"/>
      <c r="D114" s="412"/>
      <c r="E114" s="413"/>
      <c r="F114" s="414"/>
      <c r="G114" s="414"/>
      <c r="H114" s="415"/>
      <c r="I114" s="415"/>
      <c r="J114" s="415"/>
      <c r="K114" s="415"/>
      <c r="L114" s="416"/>
      <c r="M114" s="417"/>
      <c r="N114" s="434"/>
      <c r="O114" s="419"/>
      <c r="P114" s="419"/>
      <c r="Q114" s="419"/>
      <c r="R114" s="447"/>
      <c r="S114" s="437"/>
      <c r="T114" s="496"/>
      <c r="U114" s="561"/>
      <c r="V114" s="441"/>
      <c r="W114" s="417"/>
      <c r="X114" s="423"/>
      <c r="Y114" s="423"/>
      <c r="Z114" s="424"/>
      <c r="AA114" s="568"/>
      <c r="AB114" s="426"/>
      <c r="AC114" s="439"/>
      <c r="AD114" s="424"/>
      <c r="AE114" s="428"/>
      <c r="AF114" s="415"/>
      <c r="AG114" s="429"/>
      <c r="AH114" s="429"/>
      <c r="AI114" s="415"/>
    </row>
    <row r="115" spans="2:35" ht="23" hidden="1" customHeight="1" x14ac:dyDescent="0.2">
      <c r="B115" s="414"/>
      <c r="C115" s="411"/>
      <c r="D115" s="412"/>
      <c r="E115" s="413"/>
      <c r="F115" s="414"/>
      <c r="G115" s="414"/>
      <c r="H115" s="415"/>
      <c r="I115" s="415"/>
      <c r="J115" s="415"/>
      <c r="K115" s="415"/>
      <c r="L115" s="416"/>
      <c r="M115" s="417"/>
      <c r="N115" s="434"/>
      <c r="O115" s="419"/>
      <c r="P115" s="419"/>
      <c r="Q115" s="419"/>
      <c r="R115" s="447"/>
      <c r="S115" s="437"/>
      <c r="T115" s="496"/>
      <c r="U115" s="561"/>
      <c r="V115" s="441"/>
      <c r="W115" s="417"/>
      <c r="X115" s="423"/>
      <c r="Y115" s="423"/>
      <c r="Z115" s="424"/>
      <c r="AA115" s="568"/>
      <c r="AB115" s="426"/>
      <c r="AC115" s="439"/>
      <c r="AD115" s="424"/>
      <c r="AE115" s="428"/>
      <c r="AF115" s="415"/>
      <c r="AG115" s="429"/>
      <c r="AH115" s="429"/>
      <c r="AI115" s="415"/>
    </row>
    <row r="116" spans="2:35" ht="36" customHeight="1" x14ac:dyDescent="0.2">
      <c r="B116" s="414"/>
      <c r="C116" s="1024" t="s">
        <v>413</v>
      </c>
      <c r="D116" s="1025"/>
      <c r="E116" s="1025"/>
      <c r="F116" s="1025"/>
      <c r="G116" s="1025"/>
      <c r="H116" s="1025"/>
      <c r="I116" s="1025"/>
      <c r="J116" s="1025"/>
      <c r="K116" s="1025"/>
      <c r="L116" s="1025"/>
      <c r="M116" s="1025"/>
      <c r="N116" s="1025"/>
      <c r="O116" s="1025"/>
      <c r="P116" s="1025"/>
      <c r="Q116" s="1025"/>
      <c r="R116" s="467"/>
      <c r="S116" s="498">
        <f>'EXPENSES Mothly Totals'!D16</f>
        <v>0</v>
      </c>
      <c r="T116" s="468"/>
      <c r="U116" s="467"/>
      <c r="V116" s="482"/>
      <c r="W116" s="470"/>
      <c r="X116" s="471"/>
      <c r="Y116" s="471"/>
      <c r="Z116" s="570"/>
      <c r="AA116" s="472"/>
      <c r="AB116" s="472"/>
      <c r="AC116" s="472"/>
      <c r="AD116" s="472"/>
      <c r="AE116" s="472"/>
      <c r="AF116" s="472"/>
      <c r="AG116" s="472"/>
      <c r="AH116" s="472"/>
      <c r="AI116" s="484"/>
    </row>
    <row r="117" spans="2:35" s="444" customFormat="1" ht="49" customHeight="1" x14ac:dyDescent="0.2">
      <c r="C117" s="1026" t="s">
        <v>415</v>
      </c>
      <c r="D117" s="1027"/>
      <c r="E117" s="1027"/>
      <c r="F117" s="1027"/>
      <c r="G117" s="1027"/>
      <c r="H117" s="1027"/>
      <c r="I117" s="1027"/>
      <c r="J117" s="1027"/>
      <c r="K117" s="1027"/>
      <c r="L117" s="1027"/>
      <c r="M117" s="1027"/>
      <c r="N117" s="1027"/>
      <c r="O117" s="1027"/>
      <c r="P117" s="1027"/>
      <c r="Q117" s="1027"/>
      <c r="R117" s="474">
        <v>45443</v>
      </c>
      <c r="S117" s="499">
        <f>S105-S101</f>
        <v>204.4</v>
      </c>
      <c r="T117" s="475"/>
      <c r="U117" s="475"/>
      <c r="V117" s="571"/>
      <c r="W117" s="475"/>
      <c r="X117" s="475"/>
      <c r="Y117" s="475"/>
      <c r="Z117" s="476"/>
      <c r="AA117" s="475"/>
      <c r="AB117" s="475"/>
      <c r="AC117" s="475"/>
      <c r="AD117" s="475"/>
      <c r="AE117" s="475"/>
      <c r="AF117" s="475"/>
      <c r="AG117" s="475"/>
      <c r="AH117" s="475"/>
      <c r="AI117" s="476"/>
    </row>
    <row r="120" spans="2:35" x14ac:dyDescent="0.2">
      <c r="M120" s="473" t="e">
        <f>M111+#REF!</f>
        <v>#REF!</v>
      </c>
      <c r="AA120" s="406">
        <f>'RABONA PAYMENTS'!AG206</f>
        <v>10602.627034649067</v>
      </c>
    </row>
  </sheetData>
  <mergeCells count="12">
    <mergeCell ref="C116:Q116"/>
    <mergeCell ref="C117:Q117"/>
    <mergeCell ref="C27:Q27"/>
    <mergeCell ref="C66:Q66"/>
    <mergeCell ref="C80:Q80"/>
    <mergeCell ref="C81:Q81"/>
    <mergeCell ref="B84:K84"/>
    <mergeCell ref="B2:K2"/>
    <mergeCell ref="C4:D4"/>
    <mergeCell ref="C86:D86"/>
    <mergeCell ref="C101:Q101"/>
    <mergeCell ref="C105:Q105"/>
  </mergeCells>
  <conditionalFormatting sqref="Y5:Y26">
    <cfRule type="cellIs" dxfId="15" priority="11" operator="lessThan">
      <formula>0</formula>
    </cfRule>
    <cfRule type="cellIs" dxfId="14" priority="12" operator="greaterThan">
      <formula>0</formula>
    </cfRule>
  </conditionalFormatting>
  <conditionalFormatting sqref="Y28:Y65">
    <cfRule type="cellIs" dxfId="13" priority="1" operator="lessThan">
      <formula>0</formula>
    </cfRule>
    <cfRule type="cellIs" dxfId="12" priority="2" operator="greaterThan">
      <formula>0</formula>
    </cfRule>
  </conditionalFormatting>
  <conditionalFormatting sqref="Y67:Y79">
    <cfRule type="cellIs" dxfId="11" priority="35" operator="lessThan">
      <formula>0</formula>
    </cfRule>
    <cfRule type="cellIs" dxfId="10" priority="36" operator="greaterThan">
      <formula>0</formula>
    </cfRule>
  </conditionalFormatting>
  <conditionalFormatting sqref="Y87:Y100">
    <cfRule type="cellIs" dxfId="9" priority="33" operator="lessThan">
      <formula>0</formula>
    </cfRule>
    <cfRule type="cellIs" dxfId="8" priority="34" operator="greaterThan">
      <formula>0</formula>
    </cfRule>
  </conditionalFormatting>
  <conditionalFormatting sqref="Y102:Y104">
    <cfRule type="cellIs" dxfId="7" priority="31" operator="lessThan">
      <formula>0</formula>
    </cfRule>
    <cfRule type="cellIs" dxfId="6" priority="32" operator="greaterThan">
      <formula>0</formula>
    </cfRule>
  </conditionalFormatting>
  <conditionalFormatting sqref="Y106:Y115">
    <cfRule type="cellIs" dxfId="5" priority="29" operator="lessThan">
      <formula>0</formula>
    </cfRule>
    <cfRule type="cellIs" dxfId="4" priority="30" operator="greaterThan">
      <formula>0</formula>
    </cfRule>
  </conditionalFormatting>
  <conditionalFormatting sqref="AC5:AC26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AC28:AC65">
    <cfRule type="cellIs" dxfId="1" priority="15" operator="lessThan">
      <formula>0</formula>
    </cfRule>
    <cfRule type="cellIs" dxfId="0" priority="16" operator="greaterThan">
      <formula>0</formula>
    </cfRule>
  </conditionalFormatting>
  <pageMargins left="0.7" right="0.7" top="0.75" bottom="0.75" header="0.3" footer="0.3"/>
  <pageSetup paperSize="9" scale="38" fitToHeight="2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RABONA PAYMENTS</vt:lpstr>
      <vt:lpstr>EXPENSES Mothly Totals</vt:lpstr>
      <vt:lpstr>EXP paid on behalf of Client</vt:lpstr>
      <vt:lpstr>EXP to refund to employees</vt:lpstr>
      <vt:lpstr>'EXP paid on behalf of Client'!Print_Area</vt:lpstr>
      <vt:lpstr>'EXP to refund to employees'!Print_Area</vt:lpstr>
      <vt:lpstr>'EXPENSES Mothly Totals'!Print_Area</vt:lpstr>
      <vt:lpstr>'RABONA PAYMENTS'!Print_Area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officeapps</cp:lastModifiedBy>
  <cp:lastPrinted>2026-02-21T16:42:38Z</cp:lastPrinted>
  <dcterms:created xsi:type="dcterms:W3CDTF">2020-09-10T09:50:05Z</dcterms:created>
  <dcterms:modified xsi:type="dcterms:W3CDTF">2026-03-25T15:44:27Z</dcterms:modified>
</cp:coreProperties>
</file>