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eement Tracker" sheetId="1" state="visible" r:id="rId3"/>
    <sheet name="Fee Schedule" sheetId="2" state="visible" r:id="rId4"/>
    <sheet name="Current Month Invoicing" sheetId="3" state="visible" r:id="rId5"/>
    <sheet name="Legend &amp; Notes" sheetId="4" state="visible" r:id="rId6"/>
  </sheets>
  <definedNames>
    <definedName function="false" hidden="false" localSheetId="0" name="_xlnm.Print_Area" vbProcedure="false">'Agreement Tracker'!$B$2:$T$19</definedName>
    <definedName function="false" hidden="false" localSheetId="0" name="_xlnm.Print_Titles" vbProcedure="false">'Agreement Tracker'!$2:$6</definedName>
    <definedName function="false" hidden="true" localSheetId="0" name="_xlnm._FilterDatabase" vbProcedure="false">'Agreement Tracker'!$B$6:$T$41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<sst xmlns="http://schemas.openxmlformats.org/spreadsheetml/2006/main" count="397" uniqueCount="194">
  <si>
    <t xml:space="preserve">RABONA HOLDINGS LTD</t>
  </si>
  <si>
    <t xml:space="preserve">Service Agreement &amp; Monthly Invoicing Tracker</t>
  </si>
  <si>
    <t xml:space="preserve">Service Provider: Rabona Holdings Ltd (HE 402420, Limassol, Cyprus)  ·  Confidential  ·  Rev 01  ·  Prepared 23 Jul 2026</t>
  </si>
  <si>
    <t xml:space="preserve">Project Name</t>
  </si>
  <si>
    <t xml:space="preserve">Country</t>
  </si>
  <si>
    <t xml:space="preserve">City</t>
  </si>
  <si>
    <t xml:space="preserve">Agreement Signing Date</t>
  </si>
  <si>
    <t xml:space="preserve">Client (Legal Entity)</t>
  </si>
  <si>
    <t xml:space="preserve">Primary Contact Person</t>
  </si>
  <si>
    <t xml:space="preserve">Contact Position</t>
  </si>
  <si>
    <t xml:space="preserve">Contact Email (Monthly Invoice Issuance)</t>
  </si>
  <si>
    <t xml:space="preserve">Contact Telephone</t>
  </si>
  <si>
    <t xml:space="preserve">Monthly Invoice Date</t>
  </si>
  <si>
    <t xml:space="preserve">Monthly Fee</t>
  </si>
  <si>
    <t xml:space="preserve">Currency</t>
  </si>
  <si>
    <t xml:space="preserve">VAT Applicable</t>
  </si>
  <si>
    <t xml:space="preserve">VAT Rate</t>
  </si>
  <si>
    <t xml:space="preserve">Agreement Start Date</t>
  </si>
  <si>
    <t xml:space="preserve">Agreement End Date</t>
  </si>
  <si>
    <t xml:space="preserve">Invoice Ref / PO</t>
  </si>
  <si>
    <t xml:space="preserve">Status</t>
  </si>
  <si>
    <t xml:space="preserve">Notes</t>
  </si>
  <si>
    <t xml:space="preserve">Urban City 44</t>
  </si>
  <si>
    <t xml:space="preserve">Greece</t>
  </si>
  <si>
    <t xml:space="preserve">Athens</t>
  </si>
  <si>
    <t xml:space="preserve">Evimer Ltd (HE 439329, Nicosia, Cyprus)</t>
  </si>
  <si>
    <t xml:space="preserve">Gal Amar, Yota Spioliti</t>
  </si>
  <si>
    <t xml:space="preserve">Finance</t>
  </si>
  <si>
    <t xml:space="preserve">finance@astrea-properties.com; controller@astrea-properties.com</t>
  </si>
  <si>
    <t xml:space="preserve">+972 52 466 6892</t>
  </si>
  <si>
    <t xml:space="preserve">On/before 25th</t>
  </si>
  <si>
    <t xml:space="preserve">EUR</t>
  </si>
  <si>
    <t xml:space="preserve">Yes</t>
  </si>
  <si>
    <t xml:space="preserve">Active</t>
  </si>
  <si>
    <t xml:space="preserve">Urban City 44, Athens. €10,000/mo + VAT from 1 Jan 2024. Client Evimer Ltd (Cyprus). Invoice recipients: Gal Amar (finance@) and Yota Spilioti — Controller (controller@astrea-properties.com). VAT: Cyprus-domestic 19% tentatively shown — CONFIRM (immovable-property rules may point to Greek VAT).</t>
  </si>
  <si>
    <t xml:space="preserve">Kipseli</t>
  </si>
  <si>
    <t xml:space="preserve">Athens (Kypseli)</t>
  </si>
  <si>
    <t xml:space="preserve">Sunday Lifestyle, S.L. (Barcelona, Spain)</t>
  </si>
  <si>
    <t xml:space="preserve">Amir Yagil, Guy Gelboiz</t>
  </si>
  <si>
    <t xml:space="preserve">amir@bcapital.com (cc: guyg@bcapital.com)</t>
  </si>
  <si>
    <t xml:space="preserve">+357 97 795 555</t>
  </si>
  <si>
    <t xml:space="preserve">No</t>
  </si>
  <si>
    <t xml:space="preserve">Kipseli project. €6,000/mo advances; total €160,000; plus 10% cost-saving bonus. Client Sunday Lifestyle S.L. (Spain). Invoice settled on/before the 25th of the month issued. To: Amir Yagil; cc: Guy Galboiz (bcapital). Confirm project city; telephone shown is Guy Galboiz. VAT: EU B2B reverse charge assumed — CONFIRM.</t>
  </si>
  <si>
    <t xml:space="preserve">Blue Lagoon</t>
  </si>
  <si>
    <t xml:space="preserve">Loutraki</t>
  </si>
  <si>
    <t xml:space="preserve">BTS Real Estate SM SA (Athens, Greece)</t>
  </si>
  <si>
    <t xml:space="preserve">Blue Lagoon, Loutraki. €3,000/mo + VAT (Aug–Dec 2023) then €5,000/mo + VAT from 1 Jan 2024. Client BTS Real Estate SM SA (Greece). Invoice recipients: Gal Amar &amp; Yota Spilioti (Controller), Astrea. VAT: EU B2B reverse charge assumed — CONFIRM.</t>
  </si>
  <si>
    <t xml:space="preserve">Evia Mare</t>
  </si>
  <si>
    <t xml:space="preserve">Eretria (Evia)</t>
  </si>
  <si>
    <t xml:space="preserve">Diamond Star Real Estate Single Member (Athens, Greece)</t>
  </si>
  <si>
    <t xml:space="preserve">Evia Mare residential, Leof. Archeou Theatrou, Eretria. €3,750/mo non-refundable advances (~50% of total); balance on handover; total €180,000; plus 10% cost-saving bonus. Client Diamond Star Real Estate SM (Greece). Invoice recipients: Gal Amar &amp; Yota Spilioti (Controller), Astrea. VAT: EU B2B reverse charge assumed — CONFIRM.</t>
  </si>
  <si>
    <t xml:space="preserve">Hotel Echo</t>
  </si>
  <si>
    <t xml:space="preserve">Oz Shlomi Single Member S.A. (Athens, Greece)</t>
  </si>
  <si>
    <t xml:space="preserve">Shlomi Oz</t>
  </si>
  <si>
    <t xml:space="preserve">shlomi@oz-ceramica.co.il (cc: e.roditi@progressinc.gr)</t>
  </si>
  <si>
    <t xml:space="preserve">Hotel Echo, Athens. Milestone fees: Design €3,500/mo (from Oct 2024) to Milestone A; Execution €6,500/mo to handover (+ one-time €24,000 bonus); Post-handover €3,000/mo. Client Oz Shlomi Single Member S.A. (Greece). To: Shlomi Oz; cc: Eva Roditi (Progress Inc). CURRENT MILESTONE/FEE (shown €6,500) TO CONFIRM. VAT: reverse charge assumed — CONFIRM.</t>
  </si>
  <si>
    <t xml:space="preserve">Thermalpark Spa Hotel (Obermain Therme)</t>
  </si>
  <si>
    <t xml:space="preserve">Germany</t>
  </si>
  <si>
    <t xml:space="preserve">Bad Staffelstein</t>
  </si>
  <si>
    <t xml:space="preserve">613 Investment Group GmbH (HRB 4249, Coburg, Germany)</t>
  </si>
  <si>
    <t xml:space="preserve">Joseph Moran</t>
  </si>
  <si>
    <t xml:space="preserve">Managing Director</t>
  </si>
  <si>
    <t xml:space="preserve">joseph@613hotels.com</t>
  </si>
  <si>
    <t xml:space="preserve">+1 (310) 346 2660</t>
  </si>
  <si>
    <t xml:space="preserve">Spa hotel, ~120 keys. Stage fees: Design/Permit/Tender €2,500/mo; Execution €5,250/mo (~24 mo); Handover/Snagging €2,250/mo. Total €180,000. 4-month trial period from start. Agreement dated 30 Dec 2025. CURRENT STAGE/FEE TO CONFIRM. VAT: EU B2B reverse charge assumed — CONFIRM.</t>
  </si>
  <si>
    <t xml:space="preserve">City Hall Hotel (Bären Areal)</t>
  </si>
  <si>
    <t xml:space="preserve">15th of the Month</t>
  </si>
  <si>
    <t xml:space="preserve">Bad Staffelstein Urban City Hall Hotel (Bären Areal), heritage-integrated, ~85 keys. Stage fees: Design/Permit/Tender €2,500/mo (from 1 Jan 2026); Execution €5,250/mo (~24 mo); Handover/Snagging €2,250/mo. Total €180,000. Agreement dated 30 Dec 2025. CURRENT STAGE/FEE TO CONFIRM. VAT: EU B2B reverse charge assumed — CONFIRM.</t>
  </si>
  <si>
    <t xml:space="preserve">Boutique Hotels Portfolio Retainer (5 hotels)</t>
  </si>
  <si>
    <t xml:space="preserve">Various (Bavaria)</t>
  </si>
  <si>
    <t xml:space="preserve">Single portfolio retainer covering 5 boutique hotels: Adam Riese (Bad Staffelstein); Hotel 57 / Steinweg 57 (Coburg); Hotel The Post (Pfarrweisach); Hahnmühle 1323 (Coburg); The Square (Coburg). Combined fee — Phase 1 €2,000/mo (Aug 2026–Mar 2027), Phase 2 €3,400/mo (Apr 2027–Jan 2028); extension €7,500/mo. Completion fees at practical completion: Adam Riese €16,500, Hotel 57 €16,500, The Post €11,000, Hahnmühle €3,000, The Square €3,000. Invoiced monthly IN ADVANCE, due 14 days. Dated 12 Jul 2026, executed 17 Jul 2026. Contract notice contact: Shani Moran. VAT: EU B2B reverse charge assumed — CONFIRM.</t>
  </si>
  <si>
    <t xml:space="preserve">Thermalpark Residenz (Residence 58)</t>
  </si>
  <si>
    <t xml:space="preserve">joseph@613investmentgroup.com</t>
  </si>
  <si>
    <t xml:space="preserve">Wellness-led residential — 58 apartments, Am Kurpark, Bad Staffelstein. Phase 1 €2,000/mo (Jun–Dec 2026), Phase 2 €4,100/mo (Jan 2027–May 2029); Completion payment €30,100 at end of term. Total €163,000. Invoiced monthly IN ARREARS, due 30 days. Dated 12 Jul 2026, executed 17 Jul 2026. VAT: EU B2B reverse charge assumed — CONFIRM.</t>
  </si>
  <si>
    <t xml:space="preserve">RABONA HOLDINGS — FEE SCHEDULE (phased monthly fees per project &amp; agreement)</t>
  </si>
  <si>
    <t xml:space="preserve">One row per fee phase/stage.  Yellow = confirm/complete (mainly milestone-based stage change-over dates and VAT).  'IN EFFECT' shows the monthly amount billable as of the date in C3.  One-off items (bonuses / completion / caps) are listed as separate lines.</t>
  </si>
  <si>
    <t xml:space="preserve">As-of date:</t>
  </si>
  <si>
    <t xml:space="preserve">Total monthly fees in effect (as-of):</t>
  </si>
  <si>
    <t xml:space="preserve">#</t>
  </si>
  <si>
    <t xml:space="preserve">PROJECT</t>
  </si>
  <si>
    <t xml:space="preserve">CLIENT (LEGAL ENTITY)</t>
  </si>
  <si>
    <t xml:space="preserve">COUNTRY</t>
  </si>
  <si>
    <t xml:space="preserve">FEE LINE / STAGE</t>
  </si>
  <si>
    <t xml:space="preserve">BASIS</t>
  </si>
  <si>
    <t xml:space="preserve">EFFECTIVE FROM</t>
  </si>
  <si>
    <t xml:space="preserve">EFFECTIVE TO</t>
  </si>
  <si>
    <t xml:space="preserve">MONTHLY AMOUNT (€)</t>
  </si>
  <si>
    <t xml:space="preserve">ONE-OFF (€)</t>
  </si>
  <si>
    <t xml:space="preserve">IN EFFECT (as-of)</t>
  </si>
  <si>
    <t xml:space="preserve">INVOICE DAY</t>
  </si>
  <si>
    <t xml:space="preserve">VAT</t>
  </si>
  <si>
    <t xml:space="preserve">AGREEMENT END</t>
  </si>
  <si>
    <t xml:space="preserve">STATUS</t>
  </si>
  <si>
    <t xml:space="preserve">CONFIRM / NOTES</t>
  </si>
  <si>
    <t xml:space="preserve">projkey (helper)</t>
  </si>
  <si>
    <t xml:space="preserve">Monthly consultancy fee</t>
  </si>
  <si>
    <t xml:space="preserve">Monthly advance</t>
  </si>
  <si>
    <t xml:space="preserve">19% (confirm)</t>
  </si>
  <si>
    <t xml:space="preserve">€10,000/mo + VAT. VAT 19% tentative — confirm immovable-property rules.</t>
  </si>
  <si>
    <t xml:space="preserve">No (reverse charge)</t>
  </si>
  <si>
    <t xml:space="preserve">Advances; total cap €160,000.</t>
  </si>
  <si>
    <t xml:space="preserve">10% cost-saving bonus</t>
  </si>
  <si>
    <t xml:space="preserve">One-off (end)</t>
  </si>
  <si>
    <t xml:space="preserve">10% of cost savings — amount TBC.</t>
  </si>
  <si>
    <t xml:space="preserve">Monthly fee — Phase 1</t>
  </si>
  <si>
    <t xml:space="preserve">Aug–Dec 2023.</t>
  </si>
  <si>
    <t xml:space="preserve">Monthly fee — Phase 2</t>
  </si>
  <si>
    <t xml:space="preserve">From 1 Jan 2024.</t>
  </si>
  <si>
    <t xml:space="preserve">Diamond Star Real Estate SM (Athens, Greece)</t>
  </si>
  <si>
    <t xml:space="preserve">Monthly advance (~50% of total)</t>
  </si>
  <si>
    <t xml:space="preserve">Non-refundable advances; total €180,000.</t>
  </si>
  <si>
    <t xml:space="preserve">Balance on handover</t>
  </si>
  <si>
    <t xml:space="preserve">One-off (handover)</t>
  </si>
  <si>
    <t xml:space="preserve">Balance to total €180,000 — amount/date TBC.</t>
  </si>
  <si>
    <t xml:space="preserve">10% of savings — amount TBC.</t>
  </si>
  <si>
    <t xml:space="preserve">Stage 1 — Design</t>
  </si>
  <si>
    <t xml:space="preserve">Monthly (stage)</t>
  </si>
  <si>
    <t xml:space="preserve">To Milestone A — change-over date TBC.</t>
  </si>
  <si>
    <t xml:space="preserve">Stage 2 — Execution</t>
  </si>
  <si>
    <t xml:space="preserve">From Milestone A to handover — dates TBC. Confirm current stage.</t>
  </si>
  <si>
    <t xml:space="preserve">Stage 3 — Post-handover</t>
  </si>
  <si>
    <t xml:space="preserve">From handover — start date TBC.</t>
  </si>
  <si>
    <t xml:space="preserve">Execution completion bonus</t>
  </si>
  <si>
    <t xml:space="preserve">One-off</t>
  </si>
  <si>
    <t xml:space="preserve">One-time €24,000 at execution completion.</t>
  </si>
  <si>
    <t xml:space="preserve">Stage 1 — Design/Permit/Tender</t>
  </si>
  <si>
    <t xml:space="preserve">4-month trial from start. Change-over date TBC.</t>
  </si>
  <si>
    <t xml:space="preserve">Stage 2 — Execution (~24 mo)</t>
  </si>
  <si>
    <t xml:space="preserve">~24 months — dates TBC. Confirm current stage.</t>
  </si>
  <si>
    <t xml:space="preserve">Stage 3 — Handover/Snagging</t>
  </si>
  <si>
    <t xml:space="preserve">Start date TBC. Total €180,000.</t>
  </si>
  <si>
    <t xml:space="preserve">15th of the month</t>
  </si>
  <si>
    <t xml:space="preserve">Phase 1</t>
  </si>
  <si>
    <t xml:space="preserve">Aug 2026–Mar 2027. Due 14 days.</t>
  </si>
  <si>
    <t xml:space="preserve">Phase 2</t>
  </si>
  <si>
    <t xml:space="preserve">Apr 2027–Jan 2028.</t>
  </si>
  <si>
    <t xml:space="preserve">Extension (if extended)</t>
  </si>
  <si>
    <t xml:space="preserve">Monthly (optional)</t>
  </si>
  <si>
    <t xml:space="preserve">€7,500/mo if extended.</t>
  </si>
  <si>
    <t xml:space="preserve">Completion fees (per hotel)</t>
  </si>
  <si>
    <t xml:space="preserve">At practical completion: Adam Riese 16,500 + Hotel 57 16,500 + The Post 11,000 + Hahnmühle 3,000 + The Square 3,000 = 50,000.</t>
  </si>
  <si>
    <t xml:space="preserve">Monthly arrears</t>
  </si>
  <si>
    <t xml:space="preserve">Jun–Dec 2026. Due 30 days.</t>
  </si>
  <si>
    <t xml:space="preserve">Jan 2027–May 2029.</t>
  </si>
  <si>
    <t xml:space="preserve">Completion payment</t>
  </si>
  <si>
    <t xml:space="preserve">At end of term. Total €163,000.</t>
  </si>
  <si>
    <t xml:space="preserve">RABONA HOLDINGS — CURRENT MONTH INVOICING</t>
  </si>
  <si>
    <t xml:space="preserve">Pick the invoicing month in C3. GREEN cells pull automatically (monthly fee from the Fee Schedule tab; client &amp; VAT% from the Agreement Tracker). YELLOW cells you fill: fixed reimbursement, one-off invoices, credit notes (enter as negative), invoice number, and issued/paid dates. 'Accumulated Expenses' will later come from the system per project.</t>
  </si>
  <si>
    <t xml:space="preserve">Invoicing month:</t>
  </si>
  <si>
    <t xml:space="preserve">CLIENT</t>
  </si>
  <si>
    <t xml:space="preserve">MONTHLY FEE (6.1)</t>
  </si>
  <si>
    <t xml:space="preserve">FIXED REIMB. (6.2)</t>
  </si>
  <si>
    <t xml:space="preserve">ACCUM. EXPENSES</t>
  </si>
  <si>
    <t xml:space="preserve">ONE-OFF INVOICE</t>
  </si>
  <si>
    <t xml:space="preserve">CREDIT NOTES</t>
  </si>
  <si>
    <t xml:space="preserve">NET TOTAL</t>
  </si>
  <si>
    <t xml:space="preserve">VAT %</t>
  </si>
  <si>
    <t xml:space="preserve">VAT €</t>
  </si>
  <si>
    <t xml:space="preserve">GRAND TOTAL</t>
  </si>
  <si>
    <t xml:space="preserve">INVOICE No</t>
  </si>
  <si>
    <t xml:space="preserve">DATE ISSUED</t>
  </si>
  <si>
    <t xml:space="preserve">DATE PAID</t>
  </si>
  <si>
    <t xml:space="preserve">NOTES</t>
  </si>
  <si>
    <t xml:space="preserve">TOTAL ISSUED THIS MONTH</t>
  </si>
  <si>
    <t xml:space="preserve">RABONA HOLDINGS — TRACKER LEGEND &amp; GUIDANCE</t>
  </si>
  <si>
    <t xml:space="preserve">How to use this workbook</t>
  </si>
  <si>
    <t xml:space="preserve">•</t>
  </si>
  <si>
    <t xml:space="preserve">Each row = one Rabona Holdings service agreement, used as the master source for monthly invoicing.</t>
  </si>
  <si>
    <t xml:space="preserve">Header row and the Project Name column are frozen; every column has a filter (drop-down arrow on the header).</t>
  </si>
  <si>
    <t xml:space="preserve">Yellow cells = values to confirm (currently the VAT columns). Replace with the confirmed value.</t>
  </si>
  <si>
    <t xml:space="preserve">To add a project: type into the first empty formatted row (rows are pre-formatted to row 40). Drop-downs and colour-coding apply automatically.</t>
  </si>
  <si>
    <t xml:space="preserve">Status colour-codes automatically: Active (green), On Hold (amber), Completed (blue), Terminated (red).</t>
  </si>
  <si>
    <t xml:space="preserve">Column definitions</t>
  </si>
  <si>
    <t xml:space="preserve">Date the agreement was executed/entered into (for the 613 retainer &amp; Residenz: executed 17 Jul 2026, dated 12 Jul 2026).</t>
  </si>
  <si>
    <t xml:space="preserve">The contracting client entity and its registration/jurisdiction — the party invoiced.</t>
  </si>
  <si>
    <t xml:space="preserve">Contact Email</t>
  </si>
  <si>
    <t xml:space="preserve">Recipient(s) for monthly invoice issuance. Semicolons separate multiple 'To' addresses; 'cc:' shown where a copy is required.</t>
  </si>
  <si>
    <t xml:space="preserve">Timing/day the invoice is issued each month (advance vs arrears where the agreement specifies).</t>
  </si>
  <si>
    <t xml:space="preserve">The fee currently in effect. Phased/stage schedules are given in full in Notes.</t>
  </si>
  <si>
    <t xml:space="preserve">VAT Applicable / VAT Rate</t>
  </si>
  <si>
    <t xml:space="preserve">Whether Rabona adds VAT and at what rate. Currently assumptions (yellow) — see VAT note below.</t>
  </si>
  <si>
    <t xml:space="preserve">Active / On Hold / Completed / Terminated.</t>
  </si>
  <si>
    <t xml:space="preserve">Full fee schedule, completion/bonus terms, payment terms, secondary contacts and any items to confirm.</t>
  </si>
  <si>
    <t xml:space="preserve">Open items to confirm</t>
  </si>
  <si>
    <t xml:space="preserve">VAT treatment</t>
  </si>
  <si>
    <t xml:space="preserve">Rabona is Cyprus-registered. Cross-border EU B2B services are shown as reverse charge (VAT = No). Urban City 44 (client Evimer Ltd, Cyprus) is tentatively shown as Cyprus-domestic 19%. Services connected to immovable property may instead be taxed where each property is located — please confirm the correct treatment per project with your tax advisor.</t>
  </si>
  <si>
    <t xml:space="preserve">Monthly invoice day</t>
  </si>
  <si>
    <t xml:space="preserve">Only Kipseli specifies a calendar day (on/before the 25th). For the others the agreement states advance/arrears but not a day — set your standard issue day.</t>
  </si>
  <si>
    <t xml:space="preserve">Current stage / fee</t>
  </si>
  <si>
    <t xml:space="preserve">Spa Hotel, City Hall and Hotel Echo use stage/milestone-based fees. The 'Monthly Fee' shows the assumed current stage — confirm which stage each is in today.</t>
  </si>
  <si>
    <t xml:space="preserve">Contact positions / phones</t>
  </si>
  <si>
    <t xml:space="preserve">Some contact positions and a couple of phone numbers were not stated in the agreements — please complete.</t>
  </si>
  <si>
    <t xml:space="preserve">Statuses</t>
  </si>
  <si>
    <t xml:space="preserve">All set to Active. Adjust any that are On Hold, Completed or Terminated.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</si>
</sst>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yy"/>
    <numFmt numFmtId="166" formatCode="_([$€-2]\ * #,##0.00_);_([$€-2]\ * \(#,##0.00\);_([$€-2]\ * \-??_);_(@_)"/>
    <numFmt numFmtId="167" formatCode="0%"/>
    <numFmt numFmtId="168" formatCode="#,##0"/>
    <numFmt numFmtId="169" formatCode="dd/mm/yyyy"/>
    <numFmt numFmtId="170" formatCode="#,##0;\-#,##0;\-"/>
    <numFmt numFmtId="171" formatCode="mmmm\ yyyy"/>
    <numFmt numFmtId="172" formatCode="#,##0.00;\-#,##0.00;\-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2"/>
      <charset val="1"/>
    </font>
    <font>
      <sz val="12"/>
      <color rgb="FF44586E"/>
      <name val="Arial"/>
      <family val="2"/>
      <charset val="1"/>
    </font>
    <font>
      <i val="true"/>
      <sz val="8.5"/>
      <color rgb="FF70839A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16293F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rgb="FFFF0000"/>
      <name val="Calibri"/>
      <family val="2"/>
      <charset val="1"/>
    </font>
    <font>
      <b val="true"/>
      <sz val="9"/>
      <color rgb="FF16293F"/>
      <name val="Arial"/>
      <family val="2"/>
      <charset val="1"/>
    </font>
    <font>
      <sz val="9"/>
      <name val="Arial"/>
      <family val="2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06100"/>
      <name val="Arial"/>
      <family val="0"/>
      <charset val="1"/>
    </font>
    <font>
      <b val="true"/>
      <sz val="13"/>
      <color rgb="FFFFFFFF"/>
      <name val="Arial"/>
      <family val="2"/>
      <charset val="1"/>
    </font>
    <font>
      <b val="true"/>
      <sz val="10.5"/>
      <color rgb="FF1F3A5F"/>
      <name val="Arial"/>
      <family val="2"/>
      <charset val="1"/>
    </font>
    <font>
      <sz val="9"/>
      <color rgb="FFC9A96A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3F6FA"/>
      </patternFill>
    </fill>
    <fill>
      <patternFill patternType="solid">
        <fgColor rgb="FFC9A96A"/>
        <bgColor rgb="FFC9C9C9"/>
      </patternFill>
    </fill>
    <fill>
      <patternFill patternType="solid">
        <fgColor rgb="FF1F3A5F"/>
        <bgColor rgb="FF1F4E78"/>
      </patternFill>
    </fill>
    <fill>
      <patternFill patternType="solid">
        <fgColor rgb="FFF3F6FA"/>
        <bgColor rgb="FFFFFFFF"/>
      </patternFill>
    </fill>
    <fill>
      <patternFill patternType="solid">
        <fgColor rgb="FFFFF2CC"/>
        <bgColor rgb="FFFCE9C6"/>
      </patternFill>
    </fill>
    <fill>
      <patternFill patternType="solid">
        <fgColor rgb="FF1F4E78"/>
        <bgColor rgb="FF1F3A5F"/>
      </patternFill>
    </fill>
    <fill>
      <patternFill patternType="solid">
        <fgColor rgb="FFDCE6F1"/>
        <bgColor rgb="FFDCE7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8C4D2"/>
      </left>
      <right style="thin">
        <color rgb="FFB8C4D2"/>
      </right>
      <top style="thin">
        <color rgb="FFB8C4D2"/>
      </top>
      <bottom style="thin">
        <color rgb="FFB8C4D2"/>
      </bottom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 diagonalUp="false" diagonalDown="false">
      <left style="thin">
        <color rgb="FFC9C9C9"/>
      </left>
      <right style="thin">
        <color rgb="FFC9C9C9"/>
      </right>
      <top style="medium">
        <color rgb="FF1F4E78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8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2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6293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b val="1"/>
        <color rgb="FF1E6B2F"/>
        <sz val="9"/>
      </font>
      <fill>
        <patternFill>
          <bgColor rgb="FFD6EFD8"/>
        </patternFill>
      </fill>
    </dxf>
    <dxf>
      <font>
        <name val="Arial"/>
        <charset val="1"/>
        <family val="0"/>
        <b val="1"/>
        <color rgb="FF8A5A00"/>
        <sz val="9"/>
      </font>
      <fill>
        <patternFill>
          <bgColor rgb="FFFCE9C6"/>
        </patternFill>
      </fill>
    </dxf>
    <dxf>
      <font>
        <name val="Arial"/>
        <charset val="1"/>
        <family val="0"/>
        <b val="1"/>
        <color rgb="FF1F3A5F"/>
        <sz val="9"/>
      </font>
      <fill>
        <patternFill>
          <bgColor rgb="FFDCE7F5"/>
        </patternFill>
      </fill>
    </dxf>
    <dxf>
      <font>
        <name val="Arial"/>
        <charset val="1"/>
        <family val="0"/>
        <b val="1"/>
        <color rgb="FF9B1C1C"/>
        <sz val="9"/>
      </font>
      <fill>
        <patternFill>
          <bgColor rgb="FFF6D6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1E6B2F"/>
      <rgbColor rgb="FFB8C4D2"/>
      <rgbColor rgb="FF70839A"/>
      <rgbColor rgb="FF9999FF"/>
      <rgbColor rgb="FF8A5A00"/>
      <rgbColor rgb="FFFFF2CC"/>
      <rgbColor rgb="FFDCE7F5"/>
      <rgbColor rgb="FF660066"/>
      <rgbColor rgb="FFFF8080"/>
      <rgbColor rgb="FF0066CC"/>
      <rgbColor rgb="FFC9C9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D6EFD8"/>
      <rgbColor rgb="FFFCE9C6"/>
      <rgbColor rgb="FFF3F6FA"/>
      <rgbColor rgb="FFFF99CC"/>
      <rgbColor rgb="FFCC99FF"/>
      <rgbColor rgb="FFF6D6D6"/>
      <rgbColor rgb="FF3366FF"/>
      <rgbColor rgb="FF33CCCC"/>
      <rgbColor rgb="FF99CC00"/>
      <rgbColor rgb="FFFFCC00"/>
      <rgbColor rgb="FFFF9900"/>
      <rgbColor rgb="FFFF6600"/>
      <rgbColor rgb="FF44586E"/>
      <rgbColor rgb="FFC9A96A"/>
      <rgbColor rgb="FF1F3A5F"/>
      <rgbColor rgb="FF339966"/>
      <rgbColor rgb="FF003300"/>
      <rgbColor rgb="FF333300"/>
      <rgbColor rgb="FF9B1C1C"/>
      <rgbColor rgb="FF993366"/>
      <rgbColor rgb="FF1F4E78"/>
      <rgbColor rgb="FF1629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866160</xdr:colOff>
      <xdr:row>3</xdr:row>
      <xdr:rowOff>46800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562040" y="190440"/>
          <a:ext cx="866160" cy="704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T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C13" activeCellId="0" sqref="C13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22.16"/>
    <col collapsed="false" customWidth="true" hidden="false" outlineLevel="0" max="2" min="2" style="2" width="30"/>
    <col collapsed="false" customWidth="true" hidden="false" outlineLevel="0" max="3" min="3" style="2" width="12"/>
    <col collapsed="false" customWidth="true" hidden="false" outlineLevel="0" max="4" min="4" style="2" width="17"/>
    <col collapsed="false" customWidth="true" hidden="true" outlineLevel="0" max="5" min="5" style="2" width="15"/>
    <col collapsed="false" customWidth="true" hidden="true" outlineLevel="0" max="6" min="6" style="2" width="30"/>
    <col collapsed="false" customWidth="true" hidden="false" outlineLevel="0" max="7" min="7" style="2" width="18"/>
    <col collapsed="false" customWidth="true" hidden="true" outlineLevel="0" max="8" min="8" style="2" width="15"/>
    <col collapsed="false" customWidth="true" hidden="false" outlineLevel="0" max="9" min="9" style="2" width="34"/>
    <col collapsed="false" customWidth="true" hidden="true" outlineLevel="0" max="10" min="10" style="2" width="17"/>
    <col collapsed="false" customWidth="true" hidden="false" outlineLevel="0" max="11" min="11" style="2" width="19.67"/>
    <col collapsed="false" customWidth="true" hidden="false" outlineLevel="0" max="12" min="12" style="2" width="18"/>
    <col collapsed="false" customWidth="true" hidden="false" outlineLevel="0" max="13" min="13" style="2" width="12.5"/>
    <col collapsed="false" customWidth="true" hidden="false" outlineLevel="0" max="15" min="14" style="3" width="12.5"/>
    <col collapsed="false" customWidth="true" hidden="true" outlineLevel="0" max="17" min="16" style="3" width="14"/>
    <col collapsed="false" customWidth="true" hidden="true" outlineLevel="0" max="18" min="18" style="3" width="13"/>
    <col collapsed="false" customWidth="true" hidden="false" outlineLevel="0" max="19" min="19" style="3" width="12"/>
    <col collapsed="false" customWidth="true" hidden="true" outlineLevel="0" max="20" min="20" style="2" width="60"/>
  </cols>
  <sheetData>
    <row r="2" customFormat="false" ht="30" hidden="false" customHeight="true" outlineLevel="0" collapsed="false">
      <c r="A2" s="4"/>
      <c r="B2" s="5"/>
      <c r="C2" s="5"/>
      <c r="D2" s="6" t="s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customFormat="false" ht="21.75" hidden="false" customHeight="true" outlineLevel="0" collapsed="false">
      <c r="A3" s="4"/>
      <c r="B3" s="5"/>
      <c r="C3" s="5"/>
      <c r="D3" s="7" t="s">
        <v>1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customFormat="false" ht="15.75" hidden="false" customHeight="true" outlineLevel="0" collapsed="false">
      <c r="A4" s="4"/>
      <c r="B4" s="5"/>
      <c r="C4" s="5"/>
      <c r="D4" s="8" t="s">
        <v>2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customFormat="false" ht="6" hidden="false" customHeight="true" outlineLevel="0" collapsed="false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1"/>
      <c r="P5" s="11"/>
      <c r="Q5" s="11"/>
      <c r="R5" s="11"/>
      <c r="S5" s="11"/>
      <c r="T5" s="10"/>
    </row>
    <row r="6" customFormat="false" ht="42" hidden="false" customHeight="true" outlineLevel="0" collapsed="false">
      <c r="A6" s="12"/>
      <c r="B6" s="13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3" t="s">
        <v>8</v>
      </c>
      <c r="H6" s="13" t="s">
        <v>9</v>
      </c>
      <c r="I6" s="13" t="s">
        <v>10</v>
      </c>
      <c r="J6" s="13" t="s">
        <v>11</v>
      </c>
      <c r="K6" s="13" t="s">
        <v>12</v>
      </c>
      <c r="L6" s="13" t="s">
        <v>13</v>
      </c>
      <c r="M6" s="13" t="s">
        <v>14</v>
      </c>
      <c r="N6" s="13" t="s">
        <v>15</v>
      </c>
      <c r="O6" s="13" t="s">
        <v>16</v>
      </c>
      <c r="P6" s="13" t="s">
        <v>17</v>
      </c>
      <c r="Q6" s="13" t="s">
        <v>18</v>
      </c>
      <c r="R6" s="13" t="s">
        <v>19</v>
      </c>
      <c r="S6" s="13" t="s">
        <v>20</v>
      </c>
      <c r="T6" s="13" t="s">
        <v>21</v>
      </c>
    </row>
    <row r="7" customFormat="false" ht="91.5" hidden="false" customHeight="true" outlineLevel="0" collapsed="false">
      <c r="A7" s="14" t="n">
        <v>1</v>
      </c>
      <c r="B7" s="15" t="s">
        <v>22</v>
      </c>
      <c r="C7" s="16" t="s">
        <v>23</v>
      </c>
      <c r="D7" s="16" t="s">
        <v>24</v>
      </c>
      <c r="E7" s="17" t="n">
        <v>45320</v>
      </c>
      <c r="F7" s="18" t="s">
        <v>25</v>
      </c>
      <c r="G7" s="18" t="s">
        <v>26</v>
      </c>
      <c r="H7" s="16" t="s">
        <v>27</v>
      </c>
      <c r="I7" s="18" t="s">
        <v>28</v>
      </c>
      <c r="J7" s="18" t="s">
        <v>29</v>
      </c>
      <c r="K7" s="16" t="s">
        <v>30</v>
      </c>
      <c r="L7" s="19" t="n">
        <v>10000</v>
      </c>
      <c r="M7" s="16" t="s">
        <v>31</v>
      </c>
      <c r="N7" s="16" t="s">
        <v>32</v>
      </c>
      <c r="O7" s="20" t="n">
        <v>0.19</v>
      </c>
      <c r="P7" s="16" t="n">
        <v>45292</v>
      </c>
      <c r="Q7" s="16" t="n">
        <v>46387</v>
      </c>
      <c r="R7" s="16"/>
      <c r="S7" s="16" t="s">
        <v>33</v>
      </c>
      <c r="T7" s="21" t="s">
        <v>34</v>
      </c>
    </row>
    <row r="8" customFormat="false" ht="75" hidden="false" customHeight="true" outlineLevel="0" collapsed="false">
      <c r="A8" s="22" t="n">
        <v>2</v>
      </c>
      <c r="B8" s="23" t="s">
        <v>35</v>
      </c>
      <c r="C8" s="24" t="s">
        <v>23</v>
      </c>
      <c r="D8" s="24" t="s">
        <v>36</v>
      </c>
      <c r="E8" s="25" t="n">
        <v>45748</v>
      </c>
      <c r="F8" s="26" t="s">
        <v>37</v>
      </c>
      <c r="G8" s="26" t="s">
        <v>38</v>
      </c>
      <c r="H8" s="24"/>
      <c r="I8" s="26" t="s">
        <v>39</v>
      </c>
      <c r="J8" s="26" t="s">
        <v>40</v>
      </c>
      <c r="K8" s="24" t="s">
        <v>30</v>
      </c>
      <c r="L8" s="27" t="n">
        <v>6000</v>
      </c>
      <c r="M8" s="24" t="s">
        <v>31</v>
      </c>
      <c r="N8" s="28" t="s">
        <v>41</v>
      </c>
      <c r="O8" s="29" t="n">
        <v>0</v>
      </c>
      <c r="P8" s="28" t="n">
        <v>45748</v>
      </c>
      <c r="Q8" s="28" t="n">
        <v>46538</v>
      </c>
      <c r="R8" s="28"/>
      <c r="S8" s="28" t="s">
        <v>33</v>
      </c>
      <c r="T8" s="30" t="s">
        <v>42</v>
      </c>
    </row>
    <row r="9" customFormat="false" ht="91.5" hidden="false" customHeight="true" outlineLevel="0" collapsed="false">
      <c r="A9" s="14" t="n">
        <v>3</v>
      </c>
      <c r="B9" s="15" t="s">
        <v>43</v>
      </c>
      <c r="C9" s="16" t="s">
        <v>23</v>
      </c>
      <c r="D9" s="16" t="s">
        <v>44</v>
      </c>
      <c r="E9" s="17" t="n">
        <v>45320</v>
      </c>
      <c r="F9" s="18" t="s">
        <v>45</v>
      </c>
      <c r="G9" s="18" t="s">
        <v>26</v>
      </c>
      <c r="H9" s="16" t="s">
        <v>27</v>
      </c>
      <c r="I9" s="18" t="s">
        <v>28</v>
      </c>
      <c r="J9" s="18" t="s">
        <v>29</v>
      </c>
      <c r="K9" s="16" t="s">
        <v>30</v>
      </c>
      <c r="L9" s="19" t="n">
        <v>5000</v>
      </c>
      <c r="M9" s="16" t="s">
        <v>31</v>
      </c>
      <c r="N9" s="16" t="s">
        <v>41</v>
      </c>
      <c r="O9" s="20" t="n">
        <v>0</v>
      </c>
      <c r="P9" s="16" t="n">
        <v>45139</v>
      </c>
      <c r="Q9" s="16" t="n">
        <v>46387</v>
      </c>
      <c r="R9" s="16"/>
      <c r="S9" s="16" t="s">
        <v>33</v>
      </c>
      <c r="T9" s="21" t="s">
        <v>46</v>
      </c>
    </row>
    <row r="10" customFormat="false" ht="90" hidden="false" customHeight="true" outlineLevel="0" collapsed="false">
      <c r="A10" s="22" t="n">
        <v>4</v>
      </c>
      <c r="B10" s="23" t="s">
        <v>47</v>
      </c>
      <c r="C10" s="24" t="s">
        <v>23</v>
      </c>
      <c r="D10" s="24" t="s">
        <v>48</v>
      </c>
      <c r="E10" s="25" t="n">
        <v>46044</v>
      </c>
      <c r="F10" s="26" t="s">
        <v>49</v>
      </c>
      <c r="G10" s="26" t="s">
        <v>26</v>
      </c>
      <c r="H10" s="24" t="s">
        <v>27</v>
      </c>
      <c r="I10" s="26" t="s">
        <v>28</v>
      </c>
      <c r="J10" s="26" t="s">
        <v>29</v>
      </c>
      <c r="K10" s="24" t="s">
        <v>30</v>
      </c>
      <c r="L10" s="27" t="n">
        <v>3750</v>
      </c>
      <c r="M10" s="24" t="s">
        <v>31</v>
      </c>
      <c r="N10" s="28" t="s">
        <v>41</v>
      </c>
      <c r="O10" s="29" t="n">
        <v>0</v>
      </c>
      <c r="P10" s="28" t="n">
        <v>46023</v>
      </c>
      <c r="Q10" s="28" t="n">
        <v>46752</v>
      </c>
      <c r="R10" s="28"/>
      <c r="S10" s="28" t="s">
        <v>33</v>
      </c>
      <c r="T10" s="30" t="s">
        <v>50</v>
      </c>
    </row>
    <row r="11" customFormat="false" ht="91.5" hidden="false" customHeight="true" outlineLevel="0" collapsed="false">
      <c r="A11" s="14" t="n">
        <v>5</v>
      </c>
      <c r="B11" s="15" t="s">
        <v>51</v>
      </c>
      <c r="C11" s="16" t="s">
        <v>23</v>
      </c>
      <c r="D11" s="16" t="s">
        <v>24</v>
      </c>
      <c r="E11" s="17" t="n">
        <v>45566</v>
      </c>
      <c r="F11" s="18" t="s">
        <v>52</v>
      </c>
      <c r="G11" s="18" t="s">
        <v>53</v>
      </c>
      <c r="H11" s="16"/>
      <c r="I11" s="18" t="s">
        <v>54</v>
      </c>
      <c r="J11" s="18"/>
      <c r="K11" s="16" t="s">
        <v>30</v>
      </c>
      <c r="L11" s="19" t="n">
        <v>3500</v>
      </c>
      <c r="M11" s="16" t="s">
        <v>31</v>
      </c>
      <c r="N11" s="16" t="s">
        <v>41</v>
      </c>
      <c r="O11" s="20" t="n">
        <v>0</v>
      </c>
      <c r="P11" s="16" t="n">
        <v>45566</v>
      </c>
      <c r="Q11" s="16" t="n">
        <v>47118</v>
      </c>
      <c r="R11" s="16"/>
      <c r="S11" s="16" t="s">
        <v>33</v>
      </c>
      <c r="T11" s="21" t="s">
        <v>55</v>
      </c>
    </row>
    <row r="12" customFormat="false" ht="75" hidden="false" customHeight="true" outlineLevel="0" collapsed="false">
      <c r="A12" s="22" t="n">
        <v>6</v>
      </c>
      <c r="B12" s="23" t="s">
        <v>56</v>
      </c>
      <c r="C12" s="24" t="s">
        <v>57</v>
      </c>
      <c r="D12" s="24" t="s">
        <v>58</v>
      </c>
      <c r="E12" s="25" t="n">
        <v>46021</v>
      </c>
      <c r="F12" s="26" t="s">
        <v>59</v>
      </c>
      <c r="G12" s="26" t="s">
        <v>60</v>
      </c>
      <c r="H12" s="24" t="s">
        <v>61</v>
      </c>
      <c r="I12" s="26" t="s">
        <v>62</v>
      </c>
      <c r="J12" s="26" t="s">
        <v>63</v>
      </c>
      <c r="K12" s="24" t="s">
        <v>30</v>
      </c>
      <c r="L12" s="27" t="n">
        <v>2500</v>
      </c>
      <c r="M12" s="24" t="s">
        <v>31</v>
      </c>
      <c r="N12" s="28" t="s">
        <v>41</v>
      </c>
      <c r="O12" s="29" t="n">
        <v>0</v>
      </c>
      <c r="P12" s="28" t="n">
        <v>46023</v>
      </c>
      <c r="Q12" s="28" t="n">
        <v>47483</v>
      </c>
      <c r="R12" s="28"/>
      <c r="S12" s="28" t="s">
        <v>33</v>
      </c>
      <c r="T12" s="30" t="s">
        <v>64</v>
      </c>
    </row>
    <row r="13" customFormat="false" ht="91.5" hidden="false" customHeight="true" outlineLevel="0" collapsed="false">
      <c r="A13" s="14" t="n">
        <v>7</v>
      </c>
      <c r="B13" s="15" t="s">
        <v>65</v>
      </c>
      <c r="C13" s="16" t="s">
        <v>57</v>
      </c>
      <c r="D13" s="16" t="s">
        <v>58</v>
      </c>
      <c r="E13" s="17" t="n">
        <v>46021</v>
      </c>
      <c r="F13" s="18" t="s">
        <v>59</v>
      </c>
      <c r="G13" s="18" t="s">
        <v>60</v>
      </c>
      <c r="H13" s="16" t="s">
        <v>61</v>
      </c>
      <c r="I13" s="18" t="s">
        <v>62</v>
      </c>
      <c r="J13" s="18" t="s">
        <v>63</v>
      </c>
      <c r="K13" s="16" t="s">
        <v>66</v>
      </c>
      <c r="L13" s="19" t="n">
        <v>2500</v>
      </c>
      <c r="M13" s="16" t="s">
        <v>31</v>
      </c>
      <c r="N13" s="16" t="s">
        <v>41</v>
      </c>
      <c r="O13" s="20" t="n">
        <v>0</v>
      </c>
      <c r="P13" s="16" t="n">
        <v>46023</v>
      </c>
      <c r="Q13" s="16" t="n">
        <v>47483</v>
      </c>
      <c r="R13" s="16"/>
      <c r="S13" s="16" t="s">
        <v>33</v>
      </c>
      <c r="T13" s="21" t="s">
        <v>67</v>
      </c>
    </row>
    <row r="14" customFormat="false" ht="150" hidden="false" customHeight="true" outlineLevel="0" collapsed="false">
      <c r="A14" s="22" t="n">
        <v>8</v>
      </c>
      <c r="B14" s="23" t="s">
        <v>68</v>
      </c>
      <c r="C14" s="24" t="s">
        <v>57</v>
      </c>
      <c r="D14" s="24" t="s">
        <v>69</v>
      </c>
      <c r="E14" s="25" t="n">
        <v>46220</v>
      </c>
      <c r="F14" s="26" t="s">
        <v>59</v>
      </c>
      <c r="G14" s="26" t="s">
        <v>60</v>
      </c>
      <c r="H14" s="24" t="s">
        <v>61</v>
      </c>
      <c r="I14" s="26" t="s">
        <v>62</v>
      </c>
      <c r="J14" s="26" t="s">
        <v>63</v>
      </c>
      <c r="K14" s="24" t="s">
        <v>30</v>
      </c>
      <c r="L14" s="27" t="n">
        <v>2000</v>
      </c>
      <c r="M14" s="24" t="s">
        <v>31</v>
      </c>
      <c r="N14" s="28" t="s">
        <v>41</v>
      </c>
      <c r="O14" s="29" t="n">
        <v>0</v>
      </c>
      <c r="P14" s="28" t="n">
        <v>46235</v>
      </c>
      <c r="Q14" s="28" t="n">
        <v>46783</v>
      </c>
      <c r="R14" s="28"/>
      <c r="S14" s="28" t="s">
        <v>33</v>
      </c>
      <c r="T14" s="30" t="s">
        <v>70</v>
      </c>
    </row>
    <row r="15" s="39" customFormat="true" ht="91.5" hidden="false" customHeight="true" outlineLevel="0" collapsed="false">
      <c r="A15" s="31" t="n">
        <v>9</v>
      </c>
      <c r="B15" s="32" t="s">
        <v>71</v>
      </c>
      <c r="C15" s="33" t="s">
        <v>57</v>
      </c>
      <c r="D15" s="33" t="s">
        <v>58</v>
      </c>
      <c r="E15" s="34" t="n">
        <v>46220</v>
      </c>
      <c r="F15" s="35" t="s">
        <v>59</v>
      </c>
      <c r="G15" s="35" t="s">
        <v>60</v>
      </c>
      <c r="H15" s="33" t="s">
        <v>61</v>
      </c>
      <c r="I15" s="35" t="s">
        <v>72</v>
      </c>
      <c r="J15" s="35" t="s">
        <v>63</v>
      </c>
      <c r="K15" s="33" t="s">
        <v>30</v>
      </c>
      <c r="L15" s="36" t="n">
        <v>2000</v>
      </c>
      <c r="M15" s="33" t="s">
        <v>31</v>
      </c>
      <c r="N15" s="33" t="s">
        <v>41</v>
      </c>
      <c r="O15" s="37" t="n">
        <v>0</v>
      </c>
      <c r="P15" s="33" t="n">
        <v>46174</v>
      </c>
      <c r="Q15" s="33" t="n">
        <v>47269</v>
      </c>
      <c r="R15" s="33"/>
      <c r="S15" s="33" t="s">
        <v>33</v>
      </c>
      <c r="T15" s="38" t="s">
        <v>73</v>
      </c>
    </row>
    <row r="16" customFormat="false" ht="15" hidden="true" customHeight="true" outlineLevel="0" collapsed="false">
      <c r="A16" s="40"/>
      <c r="B16" s="41"/>
      <c r="C16" s="42"/>
      <c r="D16" s="42"/>
      <c r="E16" s="43"/>
      <c r="F16" s="44"/>
      <c r="G16" s="44"/>
      <c r="H16" s="42"/>
      <c r="I16" s="44"/>
      <c r="J16" s="44"/>
      <c r="K16" s="42"/>
      <c r="L16" s="45"/>
      <c r="M16" s="42"/>
      <c r="N16" s="42"/>
      <c r="O16" s="46"/>
      <c r="P16" s="43"/>
      <c r="Q16" s="43"/>
      <c r="R16" s="42"/>
      <c r="S16" s="42"/>
      <c r="T16" s="47"/>
    </row>
    <row r="17" customFormat="false" ht="15" hidden="true" customHeight="true" outlineLevel="0" collapsed="false">
      <c r="A17" s="48"/>
      <c r="B17" s="49"/>
      <c r="C17" s="50"/>
      <c r="D17" s="50"/>
      <c r="E17" s="51"/>
      <c r="F17" s="52"/>
      <c r="G17" s="52"/>
      <c r="H17" s="50"/>
      <c r="I17" s="52"/>
      <c r="J17" s="52"/>
      <c r="K17" s="50"/>
      <c r="L17" s="53"/>
      <c r="M17" s="50"/>
      <c r="N17" s="50"/>
      <c r="O17" s="54"/>
      <c r="P17" s="51"/>
      <c r="Q17" s="51"/>
      <c r="R17" s="50"/>
      <c r="S17" s="50"/>
      <c r="T17" s="55"/>
    </row>
    <row r="18" customFormat="false" ht="30" hidden="true" customHeight="true" outlineLevel="0" collapsed="false">
      <c r="A18" s="40"/>
      <c r="B18" s="41"/>
      <c r="C18" s="42"/>
      <c r="D18" s="42"/>
      <c r="E18" s="43"/>
      <c r="F18" s="44"/>
      <c r="G18" s="44"/>
      <c r="H18" s="42"/>
      <c r="I18" s="44"/>
      <c r="J18" s="44"/>
      <c r="K18" s="42"/>
      <c r="L18" s="45"/>
      <c r="M18" s="42"/>
      <c r="N18" s="42"/>
      <c r="O18" s="46"/>
      <c r="P18" s="43"/>
      <c r="Q18" s="43"/>
      <c r="R18" s="42"/>
      <c r="S18" s="42"/>
      <c r="T18" s="47"/>
    </row>
    <row r="19" customFormat="false" ht="30" hidden="true" customHeight="true" outlineLevel="0" collapsed="false">
      <c r="A19" s="48"/>
      <c r="B19" s="49"/>
      <c r="C19" s="50"/>
      <c r="D19" s="50"/>
      <c r="E19" s="51"/>
      <c r="F19" s="52"/>
      <c r="G19" s="52"/>
      <c r="H19" s="50"/>
      <c r="I19" s="52"/>
      <c r="J19" s="52"/>
      <c r="K19" s="50"/>
      <c r="L19" s="53"/>
      <c r="M19" s="50"/>
      <c r="N19" s="50"/>
      <c r="O19" s="54"/>
      <c r="P19" s="51"/>
      <c r="Q19" s="51"/>
      <c r="R19" s="50"/>
      <c r="S19" s="50"/>
      <c r="T19" s="55"/>
    </row>
    <row r="20" customFormat="false" ht="30" hidden="true" customHeight="true" outlineLevel="0" collapsed="false">
      <c r="A20" s="40"/>
      <c r="B20" s="41"/>
      <c r="C20" s="42"/>
      <c r="D20" s="42"/>
      <c r="E20" s="43"/>
      <c r="F20" s="44"/>
      <c r="G20" s="44"/>
      <c r="H20" s="42"/>
      <c r="I20" s="44"/>
      <c r="J20" s="44"/>
      <c r="K20" s="42"/>
      <c r="L20" s="45"/>
      <c r="M20" s="42"/>
      <c r="N20" s="42"/>
      <c r="O20" s="46"/>
      <c r="P20" s="43"/>
      <c r="Q20" s="43"/>
      <c r="R20" s="42"/>
      <c r="S20" s="42"/>
      <c r="T20" s="47"/>
    </row>
    <row r="21" customFormat="false" ht="30" hidden="true" customHeight="true" outlineLevel="0" collapsed="false">
      <c r="A21" s="48"/>
      <c r="B21" s="49"/>
      <c r="C21" s="50"/>
      <c r="D21" s="50"/>
      <c r="E21" s="51"/>
      <c r="F21" s="52"/>
      <c r="G21" s="52"/>
      <c r="H21" s="50"/>
      <c r="I21" s="52"/>
      <c r="J21" s="52"/>
      <c r="K21" s="50"/>
      <c r="L21" s="53"/>
      <c r="M21" s="50"/>
      <c r="N21" s="50"/>
      <c r="O21" s="54"/>
      <c r="P21" s="51"/>
      <c r="Q21" s="51"/>
      <c r="R21" s="50"/>
      <c r="S21" s="50"/>
      <c r="T21" s="55"/>
    </row>
    <row r="22" customFormat="false" ht="30" hidden="true" customHeight="true" outlineLevel="0" collapsed="false">
      <c r="A22" s="40"/>
      <c r="B22" s="41"/>
      <c r="C22" s="42"/>
      <c r="D22" s="42"/>
      <c r="E22" s="43"/>
      <c r="F22" s="44"/>
      <c r="G22" s="44"/>
      <c r="H22" s="42"/>
      <c r="I22" s="44"/>
      <c r="J22" s="44"/>
      <c r="K22" s="42"/>
      <c r="L22" s="45"/>
      <c r="M22" s="42"/>
      <c r="N22" s="42"/>
      <c r="O22" s="46"/>
      <c r="P22" s="43"/>
      <c r="Q22" s="43"/>
      <c r="R22" s="42"/>
      <c r="S22" s="42"/>
      <c r="T22" s="47"/>
    </row>
    <row r="23" customFormat="false" ht="30" hidden="true" customHeight="true" outlineLevel="0" collapsed="false">
      <c r="A23" s="48"/>
      <c r="B23" s="49"/>
      <c r="C23" s="50"/>
      <c r="D23" s="50"/>
      <c r="E23" s="51"/>
      <c r="F23" s="52"/>
      <c r="G23" s="52"/>
      <c r="H23" s="50"/>
      <c r="I23" s="52"/>
      <c r="J23" s="52"/>
      <c r="K23" s="50"/>
      <c r="L23" s="53"/>
      <c r="M23" s="50"/>
      <c r="N23" s="50"/>
      <c r="O23" s="54"/>
      <c r="P23" s="51"/>
      <c r="Q23" s="51"/>
      <c r="R23" s="50"/>
      <c r="S23" s="50"/>
      <c r="T23" s="55"/>
    </row>
    <row r="24" customFormat="false" ht="30" hidden="true" customHeight="true" outlineLevel="0" collapsed="false">
      <c r="A24" s="40"/>
      <c r="B24" s="41"/>
      <c r="C24" s="42"/>
      <c r="D24" s="42"/>
      <c r="E24" s="43"/>
      <c r="F24" s="44"/>
      <c r="G24" s="44"/>
      <c r="H24" s="42"/>
      <c r="I24" s="44"/>
      <c r="J24" s="44"/>
      <c r="K24" s="42"/>
      <c r="L24" s="45"/>
      <c r="M24" s="42"/>
      <c r="N24" s="42"/>
      <c r="O24" s="46"/>
      <c r="P24" s="43"/>
      <c r="Q24" s="43"/>
      <c r="R24" s="42"/>
      <c r="S24" s="42"/>
      <c r="T24" s="47"/>
    </row>
    <row r="25" customFormat="false" ht="30" hidden="true" customHeight="true" outlineLevel="0" collapsed="false">
      <c r="A25" s="48"/>
      <c r="B25" s="49"/>
      <c r="C25" s="50"/>
      <c r="D25" s="50"/>
      <c r="E25" s="51"/>
      <c r="F25" s="52"/>
      <c r="G25" s="52"/>
      <c r="H25" s="50"/>
      <c r="I25" s="52"/>
      <c r="J25" s="52"/>
      <c r="K25" s="50"/>
      <c r="L25" s="53"/>
      <c r="M25" s="50"/>
      <c r="N25" s="50"/>
      <c r="O25" s="54"/>
      <c r="P25" s="51"/>
      <c r="Q25" s="51"/>
      <c r="R25" s="50"/>
      <c r="S25" s="50"/>
      <c r="T25" s="55"/>
    </row>
    <row r="26" customFormat="false" ht="30" hidden="true" customHeight="true" outlineLevel="0" collapsed="false">
      <c r="A26" s="40"/>
      <c r="B26" s="41"/>
      <c r="C26" s="42"/>
      <c r="D26" s="42"/>
      <c r="E26" s="43"/>
      <c r="F26" s="44"/>
      <c r="G26" s="44"/>
      <c r="H26" s="42"/>
      <c r="I26" s="44"/>
      <c r="J26" s="44"/>
      <c r="K26" s="42"/>
      <c r="L26" s="45"/>
      <c r="M26" s="42"/>
      <c r="N26" s="42"/>
      <c r="O26" s="46"/>
      <c r="P26" s="43"/>
      <c r="Q26" s="43"/>
      <c r="R26" s="42"/>
      <c r="S26" s="42"/>
      <c r="T26" s="47"/>
    </row>
    <row r="27" customFormat="false" ht="30" hidden="true" customHeight="true" outlineLevel="0" collapsed="false">
      <c r="A27" s="48"/>
      <c r="B27" s="49"/>
      <c r="C27" s="50"/>
      <c r="D27" s="50"/>
      <c r="E27" s="51"/>
      <c r="F27" s="52"/>
      <c r="G27" s="52"/>
      <c r="H27" s="50"/>
      <c r="I27" s="52"/>
      <c r="J27" s="52"/>
      <c r="K27" s="50"/>
      <c r="L27" s="53"/>
      <c r="M27" s="50"/>
      <c r="N27" s="50"/>
      <c r="O27" s="54"/>
      <c r="P27" s="51"/>
      <c r="Q27" s="51"/>
      <c r="R27" s="50"/>
      <c r="S27" s="50"/>
      <c r="T27" s="55"/>
    </row>
    <row r="28" customFormat="false" ht="30" hidden="true" customHeight="true" outlineLevel="0" collapsed="false">
      <c r="A28" s="40"/>
      <c r="B28" s="41"/>
      <c r="C28" s="42"/>
      <c r="D28" s="42"/>
      <c r="E28" s="43"/>
      <c r="F28" s="44"/>
      <c r="G28" s="44"/>
      <c r="H28" s="42"/>
      <c r="I28" s="44"/>
      <c r="J28" s="44"/>
      <c r="K28" s="42"/>
      <c r="L28" s="45"/>
      <c r="M28" s="42"/>
      <c r="N28" s="42"/>
      <c r="O28" s="46"/>
      <c r="P28" s="43"/>
      <c r="Q28" s="43"/>
      <c r="R28" s="42"/>
      <c r="S28" s="42"/>
      <c r="T28" s="47"/>
    </row>
    <row r="29" customFormat="false" ht="30" hidden="true" customHeight="true" outlineLevel="0" collapsed="false">
      <c r="A29" s="48"/>
      <c r="B29" s="49"/>
      <c r="C29" s="50"/>
      <c r="D29" s="50"/>
      <c r="E29" s="51"/>
      <c r="F29" s="52"/>
      <c r="G29" s="52"/>
      <c r="H29" s="50"/>
      <c r="I29" s="52"/>
      <c r="J29" s="52"/>
      <c r="K29" s="50"/>
      <c r="L29" s="53"/>
      <c r="M29" s="50"/>
      <c r="N29" s="50"/>
      <c r="O29" s="54"/>
      <c r="P29" s="51"/>
      <c r="Q29" s="51"/>
      <c r="R29" s="50"/>
      <c r="S29" s="50"/>
      <c r="T29" s="55"/>
    </row>
    <row r="30" customFormat="false" ht="30" hidden="true" customHeight="true" outlineLevel="0" collapsed="false">
      <c r="A30" s="40"/>
      <c r="B30" s="41"/>
      <c r="C30" s="42"/>
      <c r="D30" s="42"/>
      <c r="E30" s="43"/>
      <c r="F30" s="44"/>
      <c r="G30" s="44"/>
      <c r="H30" s="42"/>
      <c r="I30" s="44"/>
      <c r="J30" s="44"/>
      <c r="K30" s="42"/>
      <c r="L30" s="45"/>
      <c r="M30" s="42"/>
      <c r="N30" s="42"/>
      <c r="O30" s="46"/>
      <c r="P30" s="43"/>
      <c r="Q30" s="43"/>
      <c r="R30" s="42"/>
      <c r="S30" s="42"/>
      <c r="T30" s="47"/>
    </row>
    <row r="31" customFormat="false" ht="30" hidden="true" customHeight="true" outlineLevel="0" collapsed="false">
      <c r="A31" s="48"/>
      <c r="B31" s="49"/>
      <c r="C31" s="50"/>
      <c r="D31" s="50"/>
      <c r="E31" s="51"/>
      <c r="F31" s="52"/>
      <c r="G31" s="52"/>
      <c r="H31" s="50"/>
      <c r="I31" s="52"/>
      <c r="J31" s="52"/>
      <c r="K31" s="50"/>
      <c r="L31" s="53"/>
      <c r="M31" s="50"/>
      <c r="N31" s="50"/>
      <c r="O31" s="54"/>
      <c r="P31" s="51"/>
      <c r="Q31" s="51"/>
      <c r="R31" s="50"/>
      <c r="S31" s="50"/>
      <c r="T31" s="55"/>
    </row>
    <row r="32" customFormat="false" ht="30" hidden="true" customHeight="true" outlineLevel="0" collapsed="false">
      <c r="A32" s="40"/>
      <c r="B32" s="41"/>
      <c r="C32" s="42"/>
      <c r="D32" s="42"/>
      <c r="E32" s="43"/>
      <c r="F32" s="44"/>
      <c r="G32" s="44"/>
      <c r="H32" s="42"/>
      <c r="I32" s="44"/>
      <c r="J32" s="44"/>
      <c r="K32" s="42"/>
      <c r="L32" s="45"/>
      <c r="M32" s="42"/>
      <c r="N32" s="42"/>
      <c r="O32" s="46"/>
      <c r="P32" s="43"/>
      <c r="Q32" s="43"/>
      <c r="R32" s="42"/>
      <c r="S32" s="42"/>
      <c r="T32" s="47"/>
    </row>
    <row r="33" customFormat="false" ht="30" hidden="true" customHeight="true" outlineLevel="0" collapsed="false">
      <c r="A33" s="48"/>
      <c r="B33" s="49"/>
      <c r="C33" s="50"/>
      <c r="D33" s="50"/>
      <c r="E33" s="51"/>
      <c r="F33" s="52"/>
      <c r="G33" s="52"/>
      <c r="H33" s="50"/>
      <c r="I33" s="52"/>
      <c r="J33" s="52"/>
      <c r="K33" s="50"/>
      <c r="L33" s="53"/>
      <c r="M33" s="50"/>
      <c r="N33" s="50"/>
      <c r="O33" s="54"/>
      <c r="P33" s="51"/>
      <c r="Q33" s="51"/>
      <c r="R33" s="50"/>
      <c r="S33" s="50"/>
      <c r="T33" s="55"/>
    </row>
    <row r="34" customFormat="false" ht="30" hidden="true" customHeight="true" outlineLevel="0" collapsed="false">
      <c r="A34" s="40"/>
      <c r="B34" s="41"/>
      <c r="C34" s="42"/>
      <c r="D34" s="42"/>
      <c r="E34" s="43"/>
      <c r="F34" s="44"/>
      <c r="G34" s="44"/>
      <c r="H34" s="42"/>
      <c r="I34" s="44"/>
      <c r="J34" s="44"/>
      <c r="K34" s="42"/>
      <c r="L34" s="45"/>
      <c r="M34" s="42"/>
      <c r="N34" s="42"/>
      <c r="O34" s="46"/>
      <c r="P34" s="43"/>
      <c r="Q34" s="43"/>
      <c r="R34" s="42"/>
      <c r="S34" s="42"/>
      <c r="T34" s="47"/>
    </row>
    <row r="35" customFormat="false" ht="30" hidden="true" customHeight="true" outlineLevel="0" collapsed="false">
      <c r="A35" s="48"/>
      <c r="B35" s="49"/>
      <c r="C35" s="50"/>
      <c r="D35" s="50"/>
      <c r="E35" s="51"/>
      <c r="F35" s="52"/>
      <c r="G35" s="52"/>
      <c r="H35" s="50"/>
      <c r="I35" s="52"/>
      <c r="J35" s="52"/>
      <c r="K35" s="50"/>
      <c r="L35" s="53"/>
      <c r="M35" s="50"/>
      <c r="N35" s="50"/>
      <c r="O35" s="54"/>
      <c r="P35" s="51"/>
      <c r="Q35" s="51"/>
      <c r="R35" s="50"/>
      <c r="S35" s="50"/>
      <c r="T35" s="55"/>
    </row>
    <row r="36" customFormat="false" ht="30" hidden="true" customHeight="true" outlineLevel="0" collapsed="false">
      <c r="A36" s="40"/>
      <c r="B36" s="41"/>
      <c r="C36" s="42"/>
      <c r="D36" s="42"/>
      <c r="E36" s="43"/>
      <c r="F36" s="44"/>
      <c r="G36" s="44"/>
      <c r="H36" s="42"/>
      <c r="I36" s="44"/>
      <c r="J36" s="44"/>
      <c r="K36" s="42"/>
      <c r="L36" s="45"/>
      <c r="M36" s="42"/>
      <c r="N36" s="42"/>
      <c r="O36" s="46"/>
      <c r="P36" s="43"/>
      <c r="Q36" s="43"/>
      <c r="R36" s="42"/>
      <c r="S36" s="42"/>
      <c r="T36" s="47"/>
    </row>
    <row r="37" customFormat="false" ht="30" hidden="true" customHeight="true" outlineLevel="0" collapsed="false">
      <c r="A37" s="48"/>
      <c r="B37" s="49"/>
      <c r="C37" s="50"/>
      <c r="D37" s="50"/>
      <c r="E37" s="51"/>
      <c r="F37" s="52"/>
      <c r="G37" s="52"/>
      <c r="H37" s="50"/>
      <c r="I37" s="52"/>
      <c r="J37" s="52"/>
      <c r="K37" s="50"/>
      <c r="L37" s="53"/>
      <c r="M37" s="50"/>
      <c r="N37" s="50"/>
      <c r="O37" s="54"/>
      <c r="P37" s="51"/>
      <c r="Q37" s="51"/>
      <c r="R37" s="50"/>
      <c r="S37" s="50"/>
      <c r="T37" s="55"/>
    </row>
    <row r="38" customFormat="false" ht="30" hidden="true" customHeight="true" outlineLevel="0" collapsed="false">
      <c r="A38" s="40"/>
      <c r="B38" s="41"/>
      <c r="C38" s="42"/>
      <c r="D38" s="42"/>
      <c r="E38" s="43"/>
      <c r="F38" s="44"/>
      <c r="G38" s="44"/>
      <c r="H38" s="42"/>
      <c r="I38" s="44"/>
      <c r="J38" s="44"/>
      <c r="K38" s="42"/>
      <c r="L38" s="45"/>
      <c r="M38" s="42"/>
      <c r="N38" s="42"/>
      <c r="O38" s="46"/>
      <c r="P38" s="43"/>
      <c r="Q38" s="43"/>
      <c r="R38" s="42"/>
      <c r="S38" s="42"/>
      <c r="T38" s="47"/>
    </row>
    <row r="39" customFormat="false" ht="30" hidden="true" customHeight="true" outlineLevel="0" collapsed="false">
      <c r="A39" s="48"/>
      <c r="B39" s="49"/>
      <c r="C39" s="50"/>
      <c r="D39" s="50"/>
      <c r="E39" s="51"/>
      <c r="F39" s="52"/>
      <c r="G39" s="52"/>
      <c r="H39" s="50"/>
      <c r="I39" s="52"/>
      <c r="J39" s="52"/>
      <c r="K39" s="50"/>
      <c r="L39" s="53"/>
      <c r="M39" s="50"/>
      <c r="N39" s="50"/>
      <c r="O39" s="54"/>
      <c r="P39" s="51"/>
      <c r="Q39" s="51"/>
      <c r="R39" s="50"/>
      <c r="S39" s="50"/>
      <c r="T39" s="55"/>
    </row>
    <row r="40" customFormat="false" ht="30" hidden="true" customHeight="true" outlineLevel="0" collapsed="false">
      <c r="A40" s="40"/>
      <c r="B40" s="41"/>
      <c r="C40" s="42"/>
      <c r="D40" s="42"/>
      <c r="E40" s="43"/>
      <c r="F40" s="44"/>
      <c r="G40" s="44"/>
      <c r="H40" s="42"/>
      <c r="I40" s="44"/>
      <c r="J40" s="44"/>
      <c r="K40" s="42"/>
      <c r="L40" s="45"/>
      <c r="M40" s="42"/>
      <c r="N40" s="42"/>
      <c r="O40" s="46"/>
      <c r="P40" s="43"/>
      <c r="Q40" s="43"/>
      <c r="R40" s="42"/>
      <c r="S40" s="42"/>
      <c r="T40" s="47"/>
    </row>
    <row r="41" customFormat="false" ht="30" hidden="true" customHeight="true" outlineLevel="0" collapsed="false">
      <c r="A41" s="48"/>
      <c r="B41" s="49"/>
      <c r="C41" s="50"/>
      <c r="D41" s="50"/>
      <c r="E41" s="51"/>
      <c r="F41" s="52"/>
      <c r="G41" s="52"/>
      <c r="H41" s="50"/>
      <c r="I41" s="52"/>
      <c r="J41" s="52"/>
      <c r="K41" s="50"/>
      <c r="L41" s="53"/>
      <c r="M41" s="50"/>
      <c r="N41" s="50"/>
      <c r="O41" s="54"/>
      <c r="P41" s="51"/>
      <c r="Q41" s="51"/>
      <c r="R41" s="50"/>
      <c r="S41" s="50"/>
      <c r="T41" s="55"/>
    </row>
    <row r="42" customFormat="false" ht="15" hidden="true" customHeight="true" outlineLevel="0" collapsed="false"/>
    <row r="43" customFormat="false" ht="15" hidden="false" customHeight="true" outlineLevel="0" collapsed="false">
      <c r="A43" s="40"/>
      <c r="B43" s="41"/>
      <c r="C43" s="42"/>
      <c r="D43" s="42"/>
      <c r="E43" s="43"/>
      <c r="F43" s="44"/>
      <c r="G43" s="44"/>
      <c r="H43" s="42"/>
      <c r="I43" s="44"/>
      <c r="J43" s="44"/>
      <c r="K43" s="42"/>
      <c r="L43" s="56"/>
      <c r="M43" s="42"/>
      <c r="N43" s="57"/>
      <c r="O43" s="58"/>
      <c r="P43" s="57"/>
      <c r="Q43" s="57"/>
      <c r="R43" s="57"/>
      <c r="S43" s="57"/>
      <c r="T43" s="47"/>
    </row>
  </sheetData>
  <autoFilter ref="B6:T41">
    <sortState ref="B7:T41">
      <sortCondition ref="F7:F41" descending="1" customList=""/>
    </sortState>
  </autoFilter>
  <mergeCells count="3">
    <mergeCell ref="D2:T2"/>
    <mergeCell ref="D3:T3"/>
    <mergeCell ref="D4:T4"/>
  </mergeCells>
  <conditionalFormatting sqref="S16:S41">
    <cfRule type="expression" priority="2" aboveAverage="0" equalAverage="0" bottom="0" percent="0" rank="0" text="" dxfId="6">
      <formula>$S16="Active"</formula>
    </cfRule>
    <cfRule type="expression" priority="3" aboveAverage="0" equalAverage="0" bottom="0" percent="0" rank="0" text="" dxfId="7">
      <formula>$S16="On Hold"</formula>
    </cfRule>
    <cfRule type="expression" priority="4" aboveAverage="0" equalAverage="0" bottom="0" percent="0" rank="0" text="" dxfId="8">
      <formula>$S16="Completed"</formula>
    </cfRule>
    <cfRule type="expression" priority="5" aboveAverage="0" equalAverage="0" bottom="0" percent="0" rank="0" text="" dxfId="9">
      <formula>$S16="Terminated"</formula>
    </cfRule>
  </conditionalFormatting>
  <dataValidations count="3">
    <dataValidation allowBlank="true" error="Please choose a value from the list." errorStyle="stop" errorTitle="Invalid entry" operator="between" showDropDown="false" showErrorMessage="true" showInputMessage="false" sqref="N7:N41" type="list">
      <formula1>"Yes,No"</formula1>
      <formula2>0</formula2>
    </dataValidation>
    <dataValidation allowBlank="true" error="Please choose a value from the list." errorStyle="stop" errorTitle="Invalid entry" operator="between" showDropDown="false" showErrorMessage="true" showInputMessage="false" sqref="S7:S41" type="list">
      <formula1>"Active,On Hold,Completed,Terminated"</formula1>
      <formula2>0</formula2>
    </dataValidation>
    <dataValidation allowBlank="true" error="Please choose a value from the list." errorStyle="stop" errorTitle="Invalid entry" operator="between" showDropDown="false" showErrorMessage="true" showInputMessage="false" sqref="M7:M41" type="list">
      <formula1>"EUR,USD,GBP,CHF"</formula1>
      <formula2>0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Rabona Holdings Ltd — Service Agreement Tracker   ·   Page &amp;P of &amp;N   ·   Confidential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" width="4"/>
    <col collapsed="false" customWidth="true" hidden="false" outlineLevel="0" max="2" min="2" style="2" width="26"/>
    <col collapsed="false" customWidth="true" hidden="false" outlineLevel="0" max="3" min="3" style="2" width="34"/>
    <col collapsed="false" customWidth="true" hidden="false" outlineLevel="0" max="4" min="4" style="2" width="9"/>
    <col collapsed="false" customWidth="true" hidden="false" outlineLevel="0" max="5" min="5" style="2" width="26"/>
    <col collapsed="false" customWidth="true" hidden="false" outlineLevel="0" max="6" min="6" style="2" width="18"/>
    <col collapsed="false" customWidth="true" hidden="false" outlineLevel="0" max="8" min="7" style="2" width="13"/>
    <col collapsed="false" customWidth="true" hidden="false" outlineLevel="0" max="9" min="9" style="2" width="15"/>
    <col collapsed="false" customWidth="true" hidden="false" outlineLevel="0" max="10" min="10" style="2" width="12"/>
    <col collapsed="false" customWidth="true" hidden="false" outlineLevel="0" max="11" min="11" style="2" width="14"/>
    <col collapsed="false" customWidth="true" hidden="false" outlineLevel="0" max="12" min="12" style="2" width="15"/>
    <col collapsed="false" customWidth="true" hidden="false" outlineLevel="0" max="13" min="13" style="2" width="16"/>
    <col collapsed="false" customWidth="true" hidden="false" outlineLevel="0" max="14" min="14" style="2" width="13"/>
    <col collapsed="false" customWidth="true" hidden="false" outlineLevel="0" max="15" min="15" style="2" width="9"/>
    <col collapsed="false" customWidth="true" hidden="false" outlineLevel="0" max="16" min="16" style="2" width="40"/>
    <col collapsed="false" customWidth="true" hidden="true" outlineLevel="0" max="17" min="17" style="0" width="13"/>
  </cols>
  <sheetData>
    <row r="1" customFormat="false" ht="17.25" hidden="false" customHeight="true" outlineLevel="0" collapsed="false">
      <c r="A1" s="59" t="s">
        <v>74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customFormat="false" ht="30" hidden="false" customHeight="true" outlineLevel="0" collapsed="false">
      <c r="A2" s="60" t="s">
        <v>75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</row>
    <row r="3" customFormat="false" ht="15" hidden="false" customHeight="true" outlineLevel="0" collapsed="false">
      <c r="B3" s="61" t="s">
        <v>76</v>
      </c>
      <c r="C3" s="62" t="n">
        <v>46266</v>
      </c>
      <c r="E3" s="61" t="s">
        <v>77</v>
      </c>
      <c r="I3" s="63" t="n">
        <f aca="false">SUM(K6:K200)</f>
        <v>37250</v>
      </c>
    </row>
    <row r="5" customFormat="false" ht="31.5" hidden="false" customHeight="true" outlineLevel="0" collapsed="false">
      <c r="A5" s="64" t="s">
        <v>78</v>
      </c>
      <c r="B5" s="64" t="s">
        <v>79</v>
      </c>
      <c r="C5" s="64" t="s">
        <v>80</v>
      </c>
      <c r="D5" s="64" t="s">
        <v>81</v>
      </c>
      <c r="E5" s="64" t="s">
        <v>82</v>
      </c>
      <c r="F5" s="64" t="s">
        <v>83</v>
      </c>
      <c r="G5" s="64" t="s">
        <v>84</v>
      </c>
      <c r="H5" s="64" t="s">
        <v>85</v>
      </c>
      <c r="I5" s="64" t="s">
        <v>86</v>
      </c>
      <c r="J5" s="64" t="s">
        <v>87</v>
      </c>
      <c r="K5" s="64" t="s">
        <v>88</v>
      </c>
      <c r="L5" s="64" t="s">
        <v>89</v>
      </c>
      <c r="M5" s="64" t="s">
        <v>90</v>
      </c>
      <c r="N5" s="64" t="s">
        <v>91</v>
      </c>
      <c r="O5" s="64" t="s">
        <v>92</v>
      </c>
      <c r="P5" s="64" t="s">
        <v>93</v>
      </c>
      <c r="Q5" s="0" t="s">
        <v>94</v>
      </c>
    </row>
    <row r="6" customFormat="false" ht="21.75" hidden="false" customHeight="true" outlineLevel="0" collapsed="false">
      <c r="A6" s="65" t="n">
        <v>1</v>
      </c>
      <c r="B6" s="66" t="s">
        <v>22</v>
      </c>
      <c r="C6" s="67" t="s">
        <v>25</v>
      </c>
      <c r="D6" s="67" t="s">
        <v>23</v>
      </c>
      <c r="E6" s="67" t="s">
        <v>95</v>
      </c>
      <c r="F6" s="67" t="s">
        <v>96</v>
      </c>
      <c r="G6" s="68" t="n">
        <v>45292</v>
      </c>
      <c r="H6" s="68" t="n">
        <v>46387</v>
      </c>
      <c r="I6" s="69" t="n">
        <v>10000</v>
      </c>
      <c r="J6" s="69"/>
      <c r="K6" s="70" t="n">
        <f aca="false">IF(AND($G6&lt;&gt;"",$C$3&gt;=$G6,OR($H6="",$C$3&lt;=$H6)),$I6,"")</f>
        <v>10000</v>
      </c>
      <c r="L6" s="65" t="s">
        <v>30</v>
      </c>
      <c r="M6" s="71" t="s">
        <v>97</v>
      </c>
      <c r="N6" s="68" t="n">
        <v>46387</v>
      </c>
      <c r="O6" s="65" t="s">
        <v>33</v>
      </c>
      <c r="P6" s="67" t="s">
        <v>98</v>
      </c>
      <c r="Q6" s="0" t="s">
        <v>22</v>
      </c>
    </row>
    <row r="7" customFormat="false" ht="15" hidden="false" customHeight="true" outlineLevel="0" collapsed="false">
      <c r="A7" s="72" t="n">
        <v>2</v>
      </c>
      <c r="B7" s="73" t="s">
        <v>35</v>
      </c>
      <c r="C7" s="74" t="s">
        <v>37</v>
      </c>
      <c r="D7" s="74" t="s">
        <v>23</v>
      </c>
      <c r="E7" s="74" t="s">
        <v>96</v>
      </c>
      <c r="F7" s="74" t="s">
        <v>96</v>
      </c>
      <c r="G7" s="75" t="n">
        <v>45748</v>
      </c>
      <c r="H7" s="75" t="n">
        <v>46538</v>
      </c>
      <c r="I7" s="76" t="n">
        <v>6000</v>
      </c>
      <c r="J7" s="76"/>
      <c r="K7" s="77" t="n">
        <f aca="false">IF(AND($G7&lt;&gt;"",$C$3&gt;=$G7,OR($H7="",$C$3&lt;=$H7)),$I7,"")</f>
        <v>6000</v>
      </c>
      <c r="L7" s="72" t="s">
        <v>30</v>
      </c>
      <c r="M7" s="72" t="s">
        <v>99</v>
      </c>
      <c r="N7" s="75" t="n">
        <v>46538</v>
      </c>
      <c r="O7" s="72" t="s">
        <v>33</v>
      </c>
      <c r="P7" s="74" t="s">
        <v>100</v>
      </c>
      <c r="Q7" s="0" t="s">
        <v>35</v>
      </c>
    </row>
    <row r="8" customFormat="false" ht="15" hidden="false" customHeight="true" outlineLevel="0" collapsed="false">
      <c r="A8" s="65"/>
      <c r="B8" s="67"/>
      <c r="C8" s="67"/>
      <c r="D8" s="67"/>
      <c r="E8" s="67" t="s">
        <v>101</v>
      </c>
      <c r="F8" s="67" t="s">
        <v>102</v>
      </c>
      <c r="G8" s="68"/>
      <c r="H8" s="68"/>
      <c r="I8" s="69"/>
      <c r="J8" s="78"/>
      <c r="K8" s="70"/>
      <c r="L8" s="65"/>
      <c r="M8" s="65" t="s">
        <v>41</v>
      </c>
      <c r="N8" s="68"/>
      <c r="O8" s="65"/>
      <c r="P8" s="67" t="s">
        <v>103</v>
      </c>
      <c r="Q8" s="0" t="s">
        <v>35</v>
      </c>
    </row>
    <row r="9" customFormat="false" ht="15" hidden="false" customHeight="true" outlineLevel="0" collapsed="false">
      <c r="A9" s="72" t="n">
        <v>3</v>
      </c>
      <c r="B9" s="73" t="s">
        <v>43</v>
      </c>
      <c r="C9" s="74" t="s">
        <v>45</v>
      </c>
      <c r="D9" s="74" t="s">
        <v>23</v>
      </c>
      <c r="E9" s="74" t="s">
        <v>104</v>
      </c>
      <c r="F9" s="74" t="s">
        <v>96</v>
      </c>
      <c r="G9" s="75" t="n">
        <v>45139</v>
      </c>
      <c r="H9" s="75" t="n">
        <v>45291</v>
      </c>
      <c r="I9" s="76" t="n">
        <v>3000</v>
      </c>
      <c r="J9" s="76"/>
      <c r="K9" s="77" t="str">
        <f aca="false">IF(AND($G9&lt;&gt;"",$C$3&gt;=$G9,OR($H9="",$C$3&lt;=$H9)),$I9,"")</f>
        <v/>
      </c>
      <c r="L9" s="72" t="s">
        <v>30</v>
      </c>
      <c r="M9" s="72" t="s">
        <v>99</v>
      </c>
      <c r="N9" s="75" t="n">
        <v>46387</v>
      </c>
      <c r="O9" s="72" t="s">
        <v>33</v>
      </c>
      <c r="P9" s="74" t="s">
        <v>105</v>
      </c>
      <c r="Q9" s="0" t="s">
        <v>43</v>
      </c>
    </row>
    <row r="10" customFormat="false" ht="15" hidden="false" customHeight="true" outlineLevel="0" collapsed="false">
      <c r="A10" s="65"/>
      <c r="B10" s="67"/>
      <c r="C10" s="67"/>
      <c r="D10" s="67"/>
      <c r="E10" s="67" t="s">
        <v>106</v>
      </c>
      <c r="F10" s="67" t="s">
        <v>96</v>
      </c>
      <c r="G10" s="68" t="n">
        <v>45292</v>
      </c>
      <c r="H10" s="68" t="n">
        <v>46387</v>
      </c>
      <c r="I10" s="69" t="n">
        <v>5000</v>
      </c>
      <c r="J10" s="69"/>
      <c r="K10" s="70" t="n">
        <f aca="false">IF(AND($G10&lt;&gt;"",$C$3&gt;=$G10,OR($H10="",$C$3&lt;=$H10)),$I10,"")</f>
        <v>5000</v>
      </c>
      <c r="L10" s="65"/>
      <c r="M10" s="65" t="s">
        <v>99</v>
      </c>
      <c r="N10" s="68"/>
      <c r="O10" s="65"/>
      <c r="P10" s="67" t="s">
        <v>107</v>
      </c>
      <c r="Q10" s="0" t="s">
        <v>43</v>
      </c>
    </row>
    <row r="11" customFormat="false" ht="21.75" hidden="false" customHeight="true" outlineLevel="0" collapsed="false">
      <c r="A11" s="72" t="n">
        <v>4</v>
      </c>
      <c r="B11" s="73" t="s">
        <v>47</v>
      </c>
      <c r="C11" s="74" t="s">
        <v>108</v>
      </c>
      <c r="D11" s="74" t="s">
        <v>23</v>
      </c>
      <c r="E11" s="74" t="s">
        <v>109</v>
      </c>
      <c r="F11" s="74" t="s">
        <v>96</v>
      </c>
      <c r="G11" s="75" t="n">
        <v>46023</v>
      </c>
      <c r="H11" s="75" t="n">
        <v>46752</v>
      </c>
      <c r="I11" s="76" t="n">
        <v>3750</v>
      </c>
      <c r="J11" s="76"/>
      <c r="K11" s="77" t="n">
        <f aca="false">IF(AND($G11&lt;&gt;"",$C$3&gt;=$G11,OR($H11="",$C$3&lt;=$H11)),$I11,"")</f>
        <v>3750</v>
      </c>
      <c r="L11" s="72" t="s">
        <v>30</v>
      </c>
      <c r="M11" s="72" t="s">
        <v>99</v>
      </c>
      <c r="N11" s="75" t="n">
        <v>46752</v>
      </c>
      <c r="O11" s="72" t="s">
        <v>33</v>
      </c>
      <c r="P11" s="74" t="s">
        <v>110</v>
      </c>
      <c r="Q11" s="0" t="s">
        <v>47</v>
      </c>
    </row>
    <row r="12" customFormat="false" ht="15" hidden="false" customHeight="true" outlineLevel="0" collapsed="false">
      <c r="A12" s="65"/>
      <c r="B12" s="67"/>
      <c r="C12" s="67"/>
      <c r="D12" s="67"/>
      <c r="E12" s="67" t="s">
        <v>111</v>
      </c>
      <c r="F12" s="67" t="s">
        <v>112</v>
      </c>
      <c r="G12" s="68"/>
      <c r="H12" s="68"/>
      <c r="I12" s="69"/>
      <c r="J12" s="78"/>
      <c r="K12" s="70"/>
      <c r="L12" s="65"/>
      <c r="M12" s="65" t="s">
        <v>41</v>
      </c>
      <c r="N12" s="68"/>
      <c r="O12" s="65"/>
      <c r="P12" s="67" t="s">
        <v>113</v>
      </c>
      <c r="Q12" s="0" t="s">
        <v>47</v>
      </c>
    </row>
    <row r="13" customFormat="false" ht="15" hidden="false" customHeight="true" outlineLevel="0" collapsed="false">
      <c r="A13" s="65"/>
      <c r="B13" s="67"/>
      <c r="C13" s="67"/>
      <c r="D13" s="67"/>
      <c r="E13" s="67" t="s">
        <v>101</v>
      </c>
      <c r="F13" s="67" t="s">
        <v>102</v>
      </c>
      <c r="G13" s="68"/>
      <c r="H13" s="68"/>
      <c r="I13" s="69"/>
      <c r="J13" s="78"/>
      <c r="K13" s="70"/>
      <c r="L13" s="65"/>
      <c r="M13" s="65" t="s">
        <v>41</v>
      </c>
      <c r="N13" s="68"/>
      <c r="O13" s="65"/>
      <c r="P13" s="67" t="s">
        <v>114</v>
      </c>
      <c r="Q13" s="0" t="s">
        <v>47</v>
      </c>
    </row>
    <row r="14" customFormat="false" ht="21.75" hidden="false" customHeight="true" outlineLevel="0" collapsed="false">
      <c r="A14" s="72" t="n">
        <v>5</v>
      </c>
      <c r="B14" s="73" t="s">
        <v>51</v>
      </c>
      <c r="C14" s="74" t="s">
        <v>52</v>
      </c>
      <c r="D14" s="74" t="s">
        <v>23</v>
      </c>
      <c r="E14" s="74" t="s">
        <v>115</v>
      </c>
      <c r="F14" s="74" t="s">
        <v>116</v>
      </c>
      <c r="G14" s="75" t="n">
        <v>45566</v>
      </c>
      <c r="H14" s="79"/>
      <c r="I14" s="76" t="n">
        <v>3500</v>
      </c>
      <c r="J14" s="76"/>
      <c r="K14" s="77" t="n">
        <f aca="false">IF(AND($G14&lt;&gt;"",$C$3&gt;=$G14,OR($H14="",$C$3&lt;=$H14)),$I14,"")</f>
        <v>3500</v>
      </c>
      <c r="L14" s="72" t="s">
        <v>30</v>
      </c>
      <c r="M14" s="72" t="s">
        <v>99</v>
      </c>
      <c r="N14" s="75" t="n">
        <v>47118</v>
      </c>
      <c r="O14" s="72" t="s">
        <v>33</v>
      </c>
      <c r="P14" s="74" t="s">
        <v>117</v>
      </c>
      <c r="Q14" s="0" t="s">
        <v>51</v>
      </c>
    </row>
    <row r="15" customFormat="false" ht="21.75" hidden="false" customHeight="true" outlineLevel="0" collapsed="false">
      <c r="A15" s="65"/>
      <c r="B15" s="67"/>
      <c r="C15" s="67"/>
      <c r="D15" s="67"/>
      <c r="E15" s="67" t="s">
        <v>118</v>
      </c>
      <c r="F15" s="67" t="s">
        <v>116</v>
      </c>
      <c r="G15" s="80"/>
      <c r="H15" s="80"/>
      <c r="I15" s="69" t="n">
        <v>6500</v>
      </c>
      <c r="J15" s="69"/>
      <c r="K15" s="70" t="str">
        <f aca="false">IF(AND($G15&lt;&gt;"",$C$3&gt;=$G15,OR($H15="",$C$3&lt;=$H15)),$I15,"")</f>
        <v/>
      </c>
      <c r="L15" s="65"/>
      <c r="M15" s="65" t="s">
        <v>41</v>
      </c>
      <c r="N15" s="68"/>
      <c r="O15" s="65"/>
      <c r="P15" s="67" t="s">
        <v>119</v>
      </c>
      <c r="Q15" s="0" t="s">
        <v>51</v>
      </c>
    </row>
    <row r="16" customFormat="false" ht="15" hidden="false" customHeight="true" outlineLevel="0" collapsed="false">
      <c r="A16" s="65"/>
      <c r="B16" s="67"/>
      <c r="C16" s="67"/>
      <c r="D16" s="67"/>
      <c r="E16" s="67" t="s">
        <v>120</v>
      </c>
      <c r="F16" s="67" t="s">
        <v>116</v>
      </c>
      <c r="G16" s="80"/>
      <c r="H16" s="68" t="n">
        <v>47118</v>
      </c>
      <c r="I16" s="69" t="n">
        <v>3000</v>
      </c>
      <c r="J16" s="69"/>
      <c r="K16" s="70" t="str">
        <f aca="false">IF(AND($G16&lt;&gt;"",$C$3&gt;=$G16,OR($H16="",$C$3&lt;=$H16)),$I16,"")</f>
        <v/>
      </c>
      <c r="L16" s="65"/>
      <c r="M16" s="65" t="s">
        <v>41</v>
      </c>
      <c r="N16" s="68"/>
      <c r="O16" s="65"/>
      <c r="P16" s="67" t="s">
        <v>121</v>
      </c>
      <c r="Q16" s="0" t="s">
        <v>51</v>
      </c>
    </row>
    <row r="17" customFormat="false" ht="15" hidden="false" customHeight="true" outlineLevel="0" collapsed="false">
      <c r="A17" s="65"/>
      <c r="B17" s="67"/>
      <c r="C17" s="67"/>
      <c r="D17" s="67"/>
      <c r="E17" s="67" t="s">
        <v>122</v>
      </c>
      <c r="F17" s="67" t="s">
        <v>123</v>
      </c>
      <c r="G17" s="68"/>
      <c r="H17" s="68"/>
      <c r="I17" s="69"/>
      <c r="J17" s="69" t="n">
        <v>24000</v>
      </c>
      <c r="K17" s="70"/>
      <c r="L17" s="65"/>
      <c r="M17" s="65" t="s">
        <v>41</v>
      </c>
      <c r="N17" s="68"/>
      <c r="O17" s="65"/>
      <c r="P17" s="67" t="s">
        <v>124</v>
      </c>
      <c r="Q17" s="0" t="s">
        <v>51</v>
      </c>
    </row>
    <row r="18" customFormat="false" ht="21.75" hidden="false" customHeight="true" outlineLevel="0" collapsed="false">
      <c r="A18" s="72" t="n">
        <v>6</v>
      </c>
      <c r="B18" s="73" t="s">
        <v>56</v>
      </c>
      <c r="C18" s="74" t="s">
        <v>59</v>
      </c>
      <c r="D18" s="74" t="s">
        <v>57</v>
      </c>
      <c r="E18" s="74" t="s">
        <v>125</v>
      </c>
      <c r="F18" s="74" t="s">
        <v>116</v>
      </c>
      <c r="G18" s="75" t="n">
        <v>46023</v>
      </c>
      <c r="H18" s="79"/>
      <c r="I18" s="76" t="n">
        <v>2500</v>
      </c>
      <c r="J18" s="76"/>
      <c r="K18" s="77" t="n">
        <f aca="false">IF(AND($G18&lt;&gt;"",$C$3&gt;=$G18,OR($H18="",$C$3&lt;=$H18)),$I18,"")</f>
        <v>2500</v>
      </c>
      <c r="L18" s="72" t="s">
        <v>30</v>
      </c>
      <c r="M18" s="72" t="s">
        <v>99</v>
      </c>
      <c r="N18" s="75" t="n">
        <v>47483</v>
      </c>
      <c r="O18" s="72" t="s">
        <v>33</v>
      </c>
      <c r="P18" s="74" t="s">
        <v>126</v>
      </c>
      <c r="Q18" s="0" t="s">
        <v>56</v>
      </c>
    </row>
    <row r="19" customFormat="false" ht="15" hidden="false" customHeight="true" outlineLevel="0" collapsed="false">
      <c r="A19" s="65"/>
      <c r="B19" s="67"/>
      <c r="C19" s="67"/>
      <c r="D19" s="67"/>
      <c r="E19" s="67" t="s">
        <v>127</v>
      </c>
      <c r="F19" s="67" t="s">
        <v>116</v>
      </c>
      <c r="G19" s="80"/>
      <c r="H19" s="80"/>
      <c r="I19" s="69" t="n">
        <v>5250</v>
      </c>
      <c r="J19" s="69"/>
      <c r="K19" s="70" t="str">
        <f aca="false">IF(AND($G19&lt;&gt;"",$C$3&gt;=$G19,OR($H19="",$C$3&lt;=$H19)),$I19,"")</f>
        <v/>
      </c>
      <c r="L19" s="65"/>
      <c r="M19" s="65" t="s">
        <v>41</v>
      </c>
      <c r="N19" s="68"/>
      <c r="O19" s="65"/>
      <c r="P19" s="67" t="s">
        <v>128</v>
      </c>
      <c r="Q19" s="0" t="s">
        <v>56</v>
      </c>
    </row>
    <row r="20" customFormat="false" ht="15" hidden="false" customHeight="true" outlineLevel="0" collapsed="false">
      <c r="A20" s="65"/>
      <c r="B20" s="67"/>
      <c r="C20" s="67"/>
      <c r="D20" s="67"/>
      <c r="E20" s="67" t="s">
        <v>129</v>
      </c>
      <c r="F20" s="67" t="s">
        <v>116</v>
      </c>
      <c r="G20" s="80"/>
      <c r="H20" s="68" t="n">
        <v>47483</v>
      </c>
      <c r="I20" s="69" t="n">
        <v>2250</v>
      </c>
      <c r="J20" s="69"/>
      <c r="K20" s="70" t="str">
        <f aca="false">IF(AND($G20&lt;&gt;"",$C$3&gt;=$G20,OR($H20="",$C$3&lt;=$H20)),$I20,"")</f>
        <v/>
      </c>
      <c r="L20" s="65"/>
      <c r="M20" s="65" t="s">
        <v>41</v>
      </c>
      <c r="N20" s="68"/>
      <c r="O20" s="65"/>
      <c r="P20" s="67" t="s">
        <v>130</v>
      </c>
      <c r="Q20" s="0" t="s">
        <v>56</v>
      </c>
    </row>
    <row r="21" customFormat="false" ht="21.75" hidden="false" customHeight="true" outlineLevel="0" collapsed="false">
      <c r="A21" s="72" t="n">
        <v>7</v>
      </c>
      <c r="B21" s="73" t="s">
        <v>65</v>
      </c>
      <c r="C21" s="74" t="s">
        <v>59</v>
      </c>
      <c r="D21" s="74" t="s">
        <v>57</v>
      </c>
      <c r="E21" s="74" t="s">
        <v>125</v>
      </c>
      <c r="F21" s="74" t="s">
        <v>116</v>
      </c>
      <c r="G21" s="75" t="n">
        <v>46023</v>
      </c>
      <c r="H21" s="79"/>
      <c r="I21" s="76" t="n">
        <v>2500</v>
      </c>
      <c r="J21" s="76"/>
      <c r="K21" s="77" t="n">
        <f aca="false">IF(AND($G21&lt;&gt;"",$C$3&gt;=$G21,OR($H21="",$C$3&lt;=$H21)),$I21,"")</f>
        <v>2500</v>
      </c>
      <c r="L21" s="72" t="s">
        <v>131</v>
      </c>
      <c r="M21" s="72" t="s">
        <v>99</v>
      </c>
      <c r="N21" s="75" t="n">
        <v>47483</v>
      </c>
      <c r="O21" s="72" t="s">
        <v>33</v>
      </c>
      <c r="P21" s="74" t="s">
        <v>126</v>
      </c>
      <c r="Q21" s="0" t="s">
        <v>65</v>
      </c>
    </row>
    <row r="22" customFormat="false" ht="15" hidden="false" customHeight="true" outlineLevel="0" collapsed="false">
      <c r="A22" s="65"/>
      <c r="B22" s="67"/>
      <c r="C22" s="67"/>
      <c r="D22" s="67"/>
      <c r="E22" s="67" t="s">
        <v>127</v>
      </c>
      <c r="F22" s="67" t="s">
        <v>116</v>
      </c>
      <c r="G22" s="80"/>
      <c r="H22" s="80"/>
      <c r="I22" s="69" t="n">
        <v>5250</v>
      </c>
      <c r="J22" s="69"/>
      <c r="K22" s="70" t="str">
        <f aca="false">IF(AND($G22&lt;&gt;"",$C$3&gt;=$G22,OR($H22="",$C$3&lt;=$H22)),$I22,"")</f>
        <v/>
      </c>
      <c r="L22" s="65"/>
      <c r="M22" s="65" t="s">
        <v>41</v>
      </c>
      <c r="N22" s="68"/>
      <c r="O22" s="65"/>
      <c r="P22" s="67" t="s">
        <v>128</v>
      </c>
      <c r="Q22" s="0" t="s">
        <v>65</v>
      </c>
    </row>
    <row r="23" customFormat="false" ht="15" hidden="false" customHeight="true" outlineLevel="0" collapsed="false">
      <c r="A23" s="65"/>
      <c r="B23" s="67"/>
      <c r="C23" s="67"/>
      <c r="D23" s="67"/>
      <c r="E23" s="67" t="s">
        <v>129</v>
      </c>
      <c r="F23" s="67" t="s">
        <v>116</v>
      </c>
      <c r="G23" s="80"/>
      <c r="H23" s="68" t="n">
        <v>47483</v>
      </c>
      <c r="I23" s="69" t="n">
        <v>2250</v>
      </c>
      <c r="J23" s="69"/>
      <c r="K23" s="70" t="str">
        <f aca="false">IF(AND($G23&lt;&gt;"",$C$3&gt;=$G23,OR($H23="",$C$3&lt;=$H23)),$I23,"")</f>
        <v/>
      </c>
      <c r="L23" s="65"/>
      <c r="M23" s="65" t="s">
        <v>41</v>
      </c>
      <c r="N23" s="68"/>
      <c r="O23" s="65"/>
      <c r="P23" s="67" t="s">
        <v>130</v>
      </c>
      <c r="Q23" s="0" t="s">
        <v>65</v>
      </c>
    </row>
    <row r="24" customFormat="false" ht="21.75" hidden="false" customHeight="true" outlineLevel="0" collapsed="false">
      <c r="A24" s="72" t="n">
        <v>8</v>
      </c>
      <c r="B24" s="73" t="s">
        <v>68</v>
      </c>
      <c r="C24" s="74" t="s">
        <v>59</v>
      </c>
      <c r="D24" s="74" t="s">
        <v>57</v>
      </c>
      <c r="E24" s="74" t="s">
        <v>132</v>
      </c>
      <c r="F24" s="74" t="s">
        <v>96</v>
      </c>
      <c r="G24" s="75" t="n">
        <v>46235</v>
      </c>
      <c r="H24" s="75" t="n">
        <v>46477</v>
      </c>
      <c r="I24" s="76" t="n">
        <v>2000</v>
      </c>
      <c r="J24" s="76"/>
      <c r="K24" s="77" t="n">
        <f aca="false">IF(AND($G24&lt;&gt;"",$C$3&gt;=$G24,OR($H24="",$C$3&lt;=$H24)),$I24,"")</f>
        <v>2000</v>
      </c>
      <c r="L24" s="72" t="s">
        <v>30</v>
      </c>
      <c r="M24" s="72" t="s">
        <v>99</v>
      </c>
      <c r="N24" s="75" t="n">
        <v>46783</v>
      </c>
      <c r="O24" s="72" t="s">
        <v>33</v>
      </c>
      <c r="P24" s="74" t="s">
        <v>133</v>
      </c>
      <c r="Q24" s="0" t="s">
        <v>68</v>
      </c>
    </row>
    <row r="25" customFormat="false" ht="15" hidden="false" customHeight="true" outlineLevel="0" collapsed="false">
      <c r="A25" s="65"/>
      <c r="B25" s="67"/>
      <c r="C25" s="67"/>
      <c r="D25" s="67"/>
      <c r="E25" s="67" t="s">
        <v>134</v>
      </c>
      <c r="F25" s="67" t="s">
        <v>96</v>
      </c>
      <c r="G25" s="68" t="n">
        <v>46478</v>
      </c>
      <c r="H25" s="68" t="n">
        <v>46783</v>
      </c>
      <c r="I25" s="69" t="n">
        <v>3400</v>
      </c>
      <c r="J25" s="69"/>
      <c r="K25" s="70" t="str">
        <f aca="false">IF(AND($G25&lt;&gt;"",$C$3&gt;=$G25,OR($H25="",$C$3&lt;=$H25)),$I25,"")</f>
        <v/>
      </c>
      <c r="L25" s="65"/>
      <c r="M25" s="65" t="s">
        <v>41</v>
      </c>
      <c r="N25" s="68"/>
      <c r="O25" s="65"/>
      <c r="P25" s="67" t="s">
        <v>135</v>
      </c>
      <c r="Q25" s="0" t="s">
        <v>68</v>
      </c>
    </row>
    <row r="26" customFormat="false" ht="15" hidden="false" customHeight="true" outlineLevel="0" collapsed="false">
      <c r="A26" s="65"/>
      <c r="B26" s="67"/>
      <c r="C26" s="67"/>
      <c r="D26" s="67"/>
      <c r="E26" s="67" t="s">
        <v>136</v>
      </c>
      <c r="F26" s="67" t="s">
        <v>137</v>
      </c>
      <c r="G26" s="68"/>
      <c r="H26" s="68"/>
      <c r="I26" s="69" t="n">
        <v>7500</v>
      </c>
      <c r="J26" s="69"/>
      <c r="K26" s="70"/>
      <c r="L26" s="65"/>
      <c r="M26" s="65" t="s">
        <v>41</v>
      </c>
      <c r="N26" s="68"/>
      <c r="O26" s="65"/>
      <c r="P26" s="67" t="s">
        <v>138</v>
      </c>
      <c r="Q26" s="0" t="s">
        <v>68</v>
      </c>
    </row>
    <row r="27" customFormat="false" ht="32.25" hidden="false" customHeight="true" outlineLevel="0" collapsed="false">
      <c r="A27" s="65"/>
      <c r="B27" s="67"/>
      <c r="C27" s="67"/>
      <c r="D27" s="67"/>
      <c r="E27" s="67" t="s">
        <v>139</v>
      </c>
      <c r="F27" s="67" t="s">
        <v>123</v>
      </c>
      <c r="G27" s="68"/>
      <c r="H27" s="68"/>
      <c r="I27" s="69"/>
      <c r="J27" s="69" t="n">
        <v>50000</v>
      </c>
      <c r="K27" s="70"/>
      <c r="L27" s="65"/>
      <c r="M27" s="65" t="s">
        <v>41</v>
      </c>
      <c r="N27" s="68"/>
      <c r="O27" s="65"/>
      <c r="P27" s="67" t="s">
        <v>140</v>
      </c>
      <c r="Q27" s="0" t="s">
        <v>68</v>
      </c>
    </row>
    <row r="28" customFormat="false" ht="21.75" hidden="false" customHeight="true" outlineLevel="0" collapsed="false">
      <c r="A28" s="72" t="n">
        <v>9</v>
      </c>
      <c r="B28" s="73" t="s">
        <v>71</v>
      </c>
      <c r="C28" s="74" t="s">
        <v>59</v>
      </c>
      <c r="D28" s="74" t="s">
        <v>57</v>
      </c>
      <c r="E28" s="74" t="s">
        <v>132</v>
      </c>
      <c r="F28" s="74" t="s">
        <v>141</v>
      </c>
      <c r="G28" s="75" t="n">
        <v>46174</v>
      </c>
      <c r="H28" s="75" t="n">
        <v>46387</v>
      </c>
      <c r="I28" s="76" t="n">
        <v>2000</v>
      </c>
      <c r="J28" s="76"/>
      <c r="K28" s="77" t="n">
        <f aca="false">IF(AND($G28&lt;&gt;"",$C$3&gt;=$G28,OR($H28="",$C$3&lt;=$H28)),$I28,"")</f>
        <v>2000</v>
      </c>
      <c r="L28" s="72" t="s">
        <v>30</v>
      </c>
      <c r="M28" s="72" t="s">
        <v>99</v>
      </c>
      <c r="N28" s="75" t="n">
        <v>47269</v>
      </c>
      <c r="O28" s="72" t="s">
        <v>33</v>
      </c>
      <c r="P28" s="74" t="s">
        <v>142</v>
      </c>
      <c r="Q28" s="0" t="s">
        <v>71</v>
      </c>
    </row>
    <row r="29" customFormat="false" ht="15" hidden="false" customHeight="true" outlineLevel="0" collapsed="false">
      <c r="A29" s="65"/>
      <c r="B29" s="67"/>
      <c r="C29" s="67"/>
      <c r="D29" s="67"/>
      <c r="E29" s="67" t="s">
        <v>134</v>
      </c>
      <c r="F29" s="67" t="s">
        <v>141</v>
      </c>
      <c r="G29" s="68" t="n">
        <v>46388</v>
      </c>
      <c r="H29" s="68" t="n">
        <v>47269</v>
      </c>
      <c r="I29" s="69" t="n">
        <v>4100</v>
      </c>
      <c r="J29" s="69"/>
      <c r="K29" s="70" t="str">
        <f aca="false">IF(AND($G29&lt;&gt;"",$C$3&gt;=$G29,OR($H29="",$C$3&lt;=$H29)),$I29,"")</f>
        <v/>
      </c>
      <c r="L29" s="65"/>
      <c r="M29" s="65" t="s">
        <v>41</v>
      </c>
      <c r="N29" s="68"/>
      <c r="O29" s="65"/>
      <c r="P29" s="67" t="s">
        <v>143</v>
      </c>
      <c r="Q29" s="0" t="s">
        <v>71</v>
      </c>
    </row>
    <row r="30" customFormat="false" ht="15" hidden="false" customHeight="true" outlineLevel="0" collapsed="false">
      <c r="A30" s="65"/>
      <c r="B30" s="67"/>
      <c r="C30" s="67"/>
      <c r="D30" s="67"/>
      <c r="E30" s="67" t="s">
        <v>144</v>
      </c>
      <c r="F30" s="67" t="s">
        <v>102</v>
      </c>
      <c r="G30" s="68"/>
      <c r="H30" s="68"/>
      <c r="I30" s="69"/>
      <c r="J30" s="69" t="n">
        <v>30100</v>
      </c>
      <c r="K30" s="70"/>
      <c r="L30" s="65"/>
      <c r="M30" s="65" t="s">
        <v>41</v>
      </c>
      <c r="N30" s="68"/>
      <c r="O30" s="65"/>
      <c r="P30" s="67" t="s">
        <v>145</v>
      </c>
      <c r="Q30" s="0" t="s">
        <v>71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7" min="4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5" min="13" style="0" width="13"/>
    <col collapsed="false" customWidth="true" hidden="false" outlineLevel="0" max="16" min="16" style="0" width="9"/>
    <col collapsed="false" customWidth="true" hidden="false" outlineLevel="0" max="17" min="17" style="0" width="26"/>
  </cols>
  <sheetData>
    <row r="1" customFormat="false" ht="17.35" hidden="false" customHeight="false" outlineLevel="0" collapsed="false">
      <c r="A1" s="81" t="s">
        <v>146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</row>
    <row r="2" customFormat="false" ht="42" hidden="false" customHeight="true" outlineLevel="0" collapsed="false">
      <c r="A2" s="60" t="s">
        <v>147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 customFormat="false" ht="15" hidden="false" customHeight="false" outlineLevel="0" collapsed="false">
      <c r="B3" s="82" t="s">
        <v>148</v>
      </c>
      <c r="C3" s="83" t="n">
        <v>46266</v>
      </c>
    </row>
    <row r="5" customFormat="false" ht="30" hidden="false" customHeight="true" outlineLevel="0" collapsed="false">
      <c r="A5" s="64" t="s">
        <v>78</v>
      </c>
      <c r="B5" s="64" t="s">
        <v>79</v>
      </c>
      <c r="C5" s="64" t="s">
        <v>149</v>
      </c>
      <c r="D5" s="64" t="s">
        <v>150</v>
      </c>
      <c r="E5" s="64" t="s">
        <v>151</v>
      </c>
      <c r="F5" s="64" t="s">
        <v>152</v>
      </c>
      <c r="G5" s="64" t="s">
        <v>153</v>
      </c>
      <c r="H5" s="64" t="s">
        <v>154</v>
      </c>
      <c r="I5" s="64" t="s">
        <v>155</v>
      </c>
      <c r="J5" s="64" t="s">
        <v>156</v>
      </c>
      <c r="K5" s="64" t="s">
        <v>157</v>
      </c>
      <c r="L5" s="64" t="s">
        <v>158</v>
      </c>
      <c r="M5" s="64" t="s">
        <v>159</v>
      </c>
      <c r="N5" s="64" t="s">
        <v>160</v>
      </c>
      <c r="O5" s="64" t="s">
        <v>161</v>
      </c>
      <c r="P5" s="64" t="s">
        <v>92</v>
      </c>
      <c r="Q5" s="64" t="s">
        <v>162</v>
      </c>
    </row>
    <row r="6" customFormat="false" ht="22.35" hidden="false" customHeight="false" outlineLevel="0" collapsed="false">
      <c r="A6" s="65" t="n">
        <v>1</v>
      </c>
      <c r="B6" s="67" t="s">
        <v>22</v>
      </c>
      <c r="C6" s="84" t="str">
        <f aca="false">IFERROR(INDEX('Agreement Tracker'!$F$7:$F$15,MATCH($B6,'Agreement Tracker'!$B$7:$B$15,0)),"")</f>
        <v>Evimer Ltd (HE 439329, Nicosia, Cyprus)</v>
      </c>
      <c r="D6" s="85" t="n">
        <f aca="false">SUMPRODUCT(('Fee Schedule'!$Q$6:$Q$30=$B6)*('Fee Schedule'!$G$6:$G$30&lt;&gt;"")*($C$3&gt;='Fee Schedule'!$G$6:$G$30)*(('Fee Schedule'!$H$6:$H$30="")+($C$3&lt;='Fee Schedule'!$H$6:$H$30))*('Fee Schedule'!$I$6:$I$30))</f>
        <v>10000</v>
      </c>
      <c r="E6" s="86"/>
      <c r="F6" s="86"/>
      <c r="G6" s="86"/>
      <c r="H6" s="86"/>
      <c r="I6" s="87" t="n">
        <f aca="false">SUM(D6:H6)</f>
        <v>10000</v>
      </c>
      <c r="J6" s="88" t="n">
        <f aca="false">IFERROR(INDEX('Agreement Tracker'!$O$7:$O$15,MATCH($B6,'Agreement Tracker'!$B$7:$B$15,0)),0)</f>
        <v>0.19</v>
      </c>
      <c r="K6" s="89" t="n">
        <f aca="false">I6*J6</f>
        <v>1900</v>
      </c>
      <c r="L6" s="87" t="n">
        <f aca="false">I6+K6</f>
        <v>11900</v>
      </c>
      <c r="M6" s="71"/>
      <c r="N6" s="80"/>
      <c r="O6" s="80"/>
      <c r="P6" s="65" t="str">
        <f aca="false">IF($O6&lt;&gt;"","Paid",IF($N6&lt;&gt;"","Issued","Draft"))</f>
        <v>Draft</v>
      </c>
      <c r="Q6" s="90"/>
    </row>
    <row r="7" customFormat="false" ht="22.35" hidden="false" customHeight="false" outlineLevel="0" collapsed="false">
      <c r="A7" s="65" t="n">
        <v>2</v>
      </c>
      <c r="B7" s="67" t="s">
        <v>35</v>
      </c>
      <c r="C7" s="84" t="str">
        <f aca="false">IFERROR(INDEX('Agreement Tracker'!$F$7:$F$15,MATCH($B7,'Agreement Tracker'!$B$7:$B$15,0)),"")</f>
        <v>Sunday Lifestyle, S.L. (Barcelona, Spain)</v>
      </c>
      <c r="D7" s="85" t="n">
        <f aca="false">SUMPRODUCT(('Fee Schedule'!$Q$6:$Q$30=$B7)*('Fee Schedule'!$G$6:$G$30&lt;&gt;"")*($C$3&gt;='Fee Schedule'!$G$6:$G$30)*(('Fee Schedule'!$H$6:$H$30="")+($C$3&lt;='Fee Schedule'!$H$6:$H$30))*('Fee Schedule'!$I$6:$I$30))</f>
        <v>6000</v>
      </c>
      <c r="E7" s="86"/>
      <c r="F7" s="86"/>
      <c r="G7" s="86"/>
      <c r="H7" s="86"/>
      <c r="I7" s="87" t="n">
        <f aca="false">SUM(D7:H7)</f>
        <v>6000</v>
      </c>
      <c r="J7" s="88" t="n">
        <f aca="false">IFERROR(INDEX('Agreement Tracker'!$O$7:$O$15,MATCH($B7,'Agreement Tracker'!$B$7:$B$15,0)),0)</f>
        <v>0</v>
      </c>
      <c r="K7" s="89" t="n">
        <f aca="false">I7*J7</f>
        <v>0</v>
      </c>
      <c r="L7" s="87" t="n">
        <f aca="false">I7+K7</f>
        <v>6000</v>
      </c>
      <c r="M7" s="71"/>
      <c r="N7" s="80"/>
      <c r="O7" s="80"/>
      <c r="P7" s="65" t="str">
        <f aca="false">IF($O7&lt;&gt;"","Paid",IF($N7&lt;&gt;"","Issued","Draft"))</f>
        <v>Draft</v>
      </c>
      <c r="Q7" s="90"/>
    </row>
    <row r="8" customFormat="false" ht="22.35" hidden="false" customHeight="false" outlineLevel="0" collapsed="false">
      <c r="A8" s="65" t="n">
        <v>3</v>
      </c>
      <c r="B8" s="67" t="s">
        <v>43</v>
      </c>
      <c r="C8" s="84" t="str">
        <f aca="false">IFERROR(INDEX('Agreement Tracker'!$F$7:$F$15,MATCH($B8,'Agreement Tracker'!$B$7:$B$15,0)),"")</f>
        <v>BTS Real Estate SM SA (Athens, Greece)</v>
      </c>
      <c r="D8" s="85" t="n">
        <f aca="false">SUMPRODUCT(('Fee Schedule'!$Q$6:$Q$30=$B8)*('Fee Schedule'!$G$6:$G$30&lt;&gt;"")*($C$3&gt;='Fee Schedule'!$G$6:$G$30)*(('Fee Schedule'!$H$6:$H$30="")+($C$3&lt;='Fee Schedule'!$H$6:$H$30))*('Fee Schedule'!$I$6:$I$30))</f>
        <v>5000</v>
      </c>
      <c r="E8" s="86"/>
      <c r="F8" s="86"/>
      <c r="G8" s="86"/>
      <c r="H8" s="86"/>
      <c r="I8" s="87" t="n">
        <f aca="false">SUM(D8:H8)</f>
        <v>5000</v>
      </c>
      <c r="J8" s="88" t="n">
        <f aca="false">IFERROR(INDEX('Agreement Tracker'!$O$7:$O$15,MATCH($B8,'Agreement Tracker'!$B$7:$B$15,0)),0)</f>
        <v>0</v>
      </c>
      <c r="K8" s="89" t="n">
        <f aca="false">I8*J8</f>
        <v>0</v>
      </c>
      <c r="L8" s="87" t="n">
        <f aca="false">I8+K8</f>
        <v>5000</v>
      </c>
      <c r="M8" s="71"/>
      <c r="N8" s="80"/>
      <c r="O8" s="80"/>
      <c r="P8" s="65" t="str">
        <f aca="false">IF($O8&lt;&gt;"","Paid",IF($N8&lt;&gt;"","Issued","Draft"))</f>
        <v>Draft</v>
      </c>
      <c r="Q8" s="90"/>
    </row>
    <row r="9" customFormat="false" ht="22.35" hidden="false" customHeight="false" outlineLevel="0" collapsed="false">
      <c r="A9" s="65" t="n">
        <v>4</v>
      </c>
      <c r="B9" s="67" t="s">
        <v>47</v>
      </c>
      <c r="C9" s="84" t="str">
        <f aca="false">IFERROR(INDEX('Agreement Tracker'!$F$7:$F$15,MATCH($B9,'Agreement Tracker'!$B$7:$B$15,0)),"")</f>
        <v>Diamond Star Real Estate Single Member (Athens, Greece)</v>
      </c>
      <c r="D9" s="85" t="n">
        <f aca="false">SUMPRODUCT(('Fee Schedule'!$Q$6:$Q$30=$B9)*('Fee Schedule'!$G$6:$G$30&lt;&gt;"")*($C$3&gt;='Fee Schedule'!$G$6:$G$30)*(('Fee Schedule'!$H$6:$H$30="")+($C$3&lt;='Fee Schedule'!$H$6:$H$30))*('Fee Schedule'!$I$6:$I$30))</f>
        <v>3750</v>
      </c>
      <c r="E9" s="86"/>
      <c r="F9" s="86"/>
      <c r="G9" s="86"/>
      <c r="H9" s="86"/>
      <c r="I9" s="87" t="n">
        <f aca="false">SUM(D9:H9)</f>
        <v>3750</v>
      </c>
      <c r="J9" s="88" t="n">
        <f aca="false">IFERROR(INDEX('Agreement Tracker'!$O$7:$O$15,MATCH($B9,'Agreement Tracker'!$B$7:$B$15,0)),0)</f>
        <v>0</v>
      </c>
      <c r="K9" s="89" t="n">
        <f aca="false">I9*J9</f>
        <v>0</v>
      </c>
      <c r="L9" s="87" t="n">
        <f aca="false">I9+K9</f>
        <v>3750</v>
      </c>
      <c r="M9" s="71"/>
      <c r="N9" s="80"/>
      <c r="O9" s="80"/>
      <c r="P9" s="65" t="str">
        <f aca="false">IF($O9&lt;&gt;"","Paid",IF($N9&lt;&gt;"","Issued","Draft"))</f>
        <v>Draft</v>
      </c>
      <c r="Q9" s="90"/>
    </row>
    <row r="10" customFormat="false" ht="22.35" hidden="false" customHeight="false" outlineLevel="0" collapsed="false">
      <c r="A10" s="65" t="n">
        <v>5</v>
      </c>
      <c r="B10" s="67" t="s">
        <v>51</v>
      </c>
      <c r="C10" s="84" t="str">
        <f aca="false">IFERROR(INDEX('Agreement Tracker'!$F$7:$F$15,MATCH($B10,'Agreement Tracker'!$B$7:$B$15,0)),"")</f>
        <v>Oz Shlomi Single Member S.A. (Athens, Greece)</v>
      </c>
      <c r="D10" s="85" t="n">
        <f aca="false">SUMPRODUCT(('Fee Schedule'!$Q$6:$Q$30=$B10)*('Fee Schedule'!$G$6:$G$30&lt;&gt;"")*($C$3&gt;='Fee Schedule'!$G$6:$G$30)*(('Fee Schedule'!$H$6:$H$30="")+($C$3&lt;='Fee Schedule'!$H$6:$H$30))*('Fee Schedule'!$I$6:$I$30))</f>
        <v>3500</v>
      </c>
      <c r="E10" s="86"/>
      <c r="F10" s="86"/>
      <c r="G10" s="86"/>
      <c r="H10" s="86"/>
      <c r="I10" s="87" t="n">
        <f aca="false">SUM(D10:H10)</f>
        <v>3500</v>
      </c>
      <c r="J10" s="88" t="n">
        <f aca="false">IFERROR(INDEX('Agreement Tracker'!$O$7:$O$15,MATCH($B10,'Agreement Tracker'!$B$7:$B$15,0)),0)</f>
        <v>0</v>
      </c>
      <c r="K10" s="89" t="n">
        <f aca="false">I10*J10</f>
        <v>0</v>
      </c>
      <c r="L10" s="87" t="n">
        <f aca="false">I10+K10</f>
        <v>3500</v>
      </c>
      <c r="M10" s="71"/>
      <c r="N10" s="80"/>
      <c r="O10" s="80"/>
      <c r="P10" s="65" t="str">
        <f aca="false">IF($O10&lt;&gt;"","Paid",IF($N10&lt;&gt;"","Issued","Draft"))</f>
        <v>Draft</v>
      </c>
      <c r="Q10" s="90"/>
    </row>
    <row r="11" customFormat="false" ht="22.35" hidden="false" customHeight="false" outlineLevel="0" collapsed="false">
      <c r="A11" s="65" t="n">
        <v>6</v>
      </c>
      <c r="B11" s="67" t="s">
        <v>56</v>
      </c>
      <c r="C11" s="84" t="str">
        <f aca="false">IFERROR(INDEX('Agreement Tracker'!$F$7:$F$15,MATCH($B11,'Agreement Tracker'!$B$7:$B$15,0)),"")</f>
        <v>613 Investment Group GmbH (HRB 4249, Coburg, Germany)</v>
      </c>
      <c r="D11" s="85" t="n">
        <f aca="false">SUMPRODUCT(('Fee Schedule'!$Q$6:$Q$30=$B11)*('Fee Schedule'!$G$6:$G$30&lt;&gt;"")*($C$3&gt;='Fee Schedule'!$G$6:$G$30)*(('Fee Schedule'!$H$6:$H$30="")+($C$3&lt;='Fee Schedule'!$H$6:$H$30))*('Fee Schedule'!$I$6:$I$30))</f>
        <v>2500</v>
      </c>
      <c r="E11" s="86"/>
      <c r="F11" s="86"/>
      <c r="G11" s="86"/>
      <c r="H11" s="86"/>
      <c r="I11" s="87" t="n">
        <f aca="false">SUM(D11:H11)</f>
        <v>2500</v>
      </c>
      <c r="J11" s="88" t="n">
        <f aca="false">IFERROR(INDEX('Agreement Tracker'!$O$7:$O$15,MATCH($B11,'Agreement Tracker'!$B$7:$B$15,0)),0)</f>
        <v>0</v>
      </c>
      <c r="K11" s="89" t="n">
        <f aca="false">I11*J11</f>
        <v>0</v>
      </c>
      <c r="L11" s="87" t="n">
        <f aca="false">I11+K11</f>
        <v>2500</v>
      </c>
      <c r="M11" s="71"/>
      <c r="N11" s="80"/>
      <c r="O11" s="80"/>
      <c r="P11" s="65" t="str">
        <f aca="false">IF($O11&lt;&gt;"","Paid",IF($N11&lt;&gt;"","Issued","Draft"))</f>
        <v>Draft</v>
      </c>
      <c r="Q11" s="90"/>
    </row>
    <row r="12" customFormat="false" ht="22.35" hidden="false" customHeight="false" outlineLevel="0" collapsed="false">
      <c r="A12" s="65" t="n">
        <v>7</v>
      </c>
      <c r="B12" s="67" t="s">
        <v>65</v>
      </c>
      <c r="C12" s="84" t="str">
        <f aca="false">IFERROR(INDEX('Agreement Tracker'!$F$7:$F$15,MATCH($B12,'Agreement Tracker'!$B$7:$B$15,0)),"")</f>
        <v>613 Investment Group GmbH (HRB 4249, Coburg, Germany)</v>
      </c>
      <c r="D12" s="85" t="n">
        <f aca="false">SUMPRODUCT(('Fee Schedule'!$Q$6:$Q$30=$B12)*('Fee Schedule'!$G$6:$G$30&lt;&gt;"")*($C$3&gt;='Fee Schedule'!$G$6:$G$30)*(('Fee Schedule'!$H$6:$H$30="")+($C$3&lt;='Fee Schedule'!$H$6:$H$30))*('Fee Schedule'!$I$6:$I$30))</f>
        <v>2500</v>
      </c>
      <c r="E12" s="86"/>
      <c r="F12" s="86"/>
      <c r="G12" s="86"/>
      <c r="H12" s="86"/>
      <c r="I12" s="87" t="n">
        <f aca="false">SUM(D12:H12)</f>
        <v>2500</v>
      </c>
      <c r="J12" s="88" t="n">
        <f aca="false">IFERROR(INDEX('Agreement Tracker'!$O$7:$O$15,MATCH($B12,'Agreement Tracker'!$B$7:$B$15,0)),0)</f>
        <v>0</v>
      </c>
      <c r="K12" s="89" t="n">
        <f aca="false">I12*J12</f>
        <v>0</v>
      </c>
      <c r="L12" s="87" t="n">
        <f aca="false">I12+K12</f>
        <v>2500</v>
      </c>
      <c r="M12" s="71"/>
      <c r="N12" s="80"/>
      <c r="O12" s="80"/>
      <c r="P12" s="65" t="str">
        <f aca="false">IF($O12&lt;&gt;"","Paid",IF($N12&lt;&gt;"","Issued","Draft"))</f>
        <v>Draft</v>
      </c>
      <c r="Q12" s="90"/>
    </row>
    <row r="13" customFormat="false" ht="22.35" hidden="false" customHeight="false" outlineLevel="0" collapsed="false">
      <c r="A13" s="65" t="n">
        <v>8</v>
      </c>
      <c r="B13" s="67" t="s">
        <v>68</v>
      </c>
      <c r="C13" s="84" t="str">
        <f aca="false">IFERROR(INDEX('Agreement Tracker'!$F$7:$F$15,MATCH($B13,'Agreement Tracker'!$B$7:$B$15,0)),"")</f>
        <v>613 Investment Group GmbH (HRB 4249, Coburg, Germany)</v>
      </c>
      <c r="D13" s="85" t="n">
        <f aca="false">SUMPRODUCT(('Fee Schedule'!$Q$6:$Q$30=$B13)*('Fee Schedule'!$G$6:$G$30&lt;&gt;"")*($C$3&gt;='Fee Schedule'!$G$6:$G$30)*(('Fee Schedule'!$H$6:$H$30="")+($C$3&lt;='Fee Schedule'!$H$6:$H$30))*('Fee Schedule'!$I$6:$I$30))</f>
        <v>2000</v>
      </c>
      <c r="E13" s="86"/>
      <c r="F13" s="86"/>
      <c r="G13" s="86"/>
      <c r="H13" s="86"/>
      <c r="I13" s="87" t="n">
        <f aca="false">SUM(D13:H13)</f>
        <v>2000</v>
      </c>
      <c r="J13" s="88" t="n">
        <f aca="false">IFERROR(INDEX('Agreement Tracker'!$O$7:$O$15,MATCH($B13,'Agreement Tracker'!$B$7:$B$15,0)),0)</f>
        <v>0</v>
      </c>
      <c r="K13" s="89" t="n">
        <f aca="false">I13*J13</f>
        <v>0</v>
      </c>
      <c r="L13" s="87" t="n">
        <f aca="false">I13+K13</f>
        <v>2000</v>
      </c>
      <c r="M13" s="71"/>
      <c r="N13" s="80"/>
      <c r="O13" s="80"/>
      <c r="P13" s="65" t="str">
        <f aca="false">IF($O13&lt;&gt;"","Paid",IF($N13&lt;&gt;"","Issued","Draft"))</f>
        <v>Draft</v>
      </c>
      <c r="Q13" s="90"/>
    </row>
    <row r="14" customFormat="false" ht="22.35" hidden="false" customHeight="false" outlineLevel="0" collapsed="false">
      <c r="A14" s="65" t="n">
        <v>9</v>
      </c>
      <c r="B14" s="67" t="s">
        <v>71</v>
      </c>
      <c r="C14" s="84" t="str">
        <f aca="false">IFERROR(INDEX('Agreement Tracker'!$F$7:$F$15,MATCH($B14,'Agreement Tracker'!$B$7:$B$15,0)),"")</f>
        <v>613 Investment Group GmbH (HRB 4249, Coburg, Germany)</v>
      </c>
      <c r="D14" s="85" t="n">
        <f aca="false">SUMPRODUCT(('Fee Schedule'!$Q$6:$Q$30=$B14)*('Fee Schedule'!$G$6:$G$30&lt;&gt;"")*($C$3&gt;='Fee Schedule'!$G$6:$G$30)*(('Fee Schedule'!$H$6:$H$30="")+($C$3&lt;='Fee Schedule'!$H$6:$H$30))*('Fee Schedule'!$I$6:$I$30))</f>
        <v>2000</v>
      </c>
      <c r="E14" s="86"/>
      <c r="F14" s="86"/>
      <c r="G14" s="86"/>
      <c r="H14" s="86"/>
      <c r="I14" s="87" t="n">
        <f aca="false">SUM(D14:H14)</f>
        <v>2000</v>
      </c>
      <c r="J14" s="88" t="n">
        <f aca="false">IFERROR(INDEX('Agreement Tracker'!$O$7:$O$15,MATCH($B14,'Agreement Tracker'!$B$7:$B$15,0)),0)</f>
        <v>0</v>
      </c>
      <c r="K14" s="89" t="n">
        <f aca="false">I14*J14</f>
        <v>0</v>
      </c>
      <c r="L14" s="87" t="n">
        <f aca="false">I14+K14</f>
        <v>2000</v>
      </c>
      <c r="M14" s="71"/>
      <c r="N14" s="80"/>
      <c r="O14" s="80"/>
      <c r="P14" s="65" t="str">
        <f aca="false">IF($O14&lt;&gt;"","Paid",IF($N14&lt;&gt;"","Issued","Draft"))</f>
        <v>Draft</v>
      </c>
      <c r="Q14" s="90"/>
    </row>
    <row r="15" customFormat="false" ht="15" hidden="false" customHeight="false" outlineLevel="0" collapsed="false">
      <c r="A15" s="91"/>
      <c r="B15" s="91" t="s">
        <v>163</v>
      </c>
      <c r="C15" s="91"/>
      <c r="D15" s="92" t="n">
        <f aca="false">SUM(D6:D14)</f>
        <v>37250</v>
      </c>
      <c r="E15" s="92" t="n">
        <f aca="false">SUM(E6:E14)</f>
        <v>0</v>
      </c>
      <c r="F15" s="92" t="n">
        <f aca="false">SUM(F6:F14)</f>
        <v>0</v>
      </c>
      <c r="G15" s="92" t="n">
        <f aca="false">SUM(G6:G14)</f>
        <v>0</v>
      </c>
      <c r="H15" s="92" t="n">
        <f aca="false">SUM(H6:H14)</f>
        <v>0</v>
      </c>
      <c r="I15" s="92" t="n">
        <f aca="false">SUM(I6:I14)</f>
        <v>37250</v>
      </c>
      <c r="J15" s="91"/>
      <c r="K15" s="92" t="n">
        <f aca="false">SUM(K6:K14)</f>
        <v>1900</v>
      </c>
      <c r="L15" s="92" t="n">
        <f aca="false">SUM(L6:L14)</f>
        <v>39150</v>
      </c>
      <c r="M15" s="91"/>
      <c r="N15" s="91"/>
      <c r="O15" s="91"/>
      <c r="P15" s="91"/>
      <c r="Q15" s="91"/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2" width="30"/>
    <col collapsed="false" customWidth="true" hidden="false" outlineLevel="0" max="2" min="2" style="2" width="95"/>
  </cols>
  <sheetData>
    <row r="1" customFormat="false" ht="25.5" hidden="false" customHeight="true" outlineLevel="0" collapsed="false">
      <c r="A1" s="93" t="s">
        <v>164</v>
      </c>
      <c r="B1" s="93"/>
    </row>
    <row r="3" customFormat="false" ht="15" hidden="false" customHeight="true" outlineLevel="0" collapsed="false">
      <c r="A3" s="94" t="s">
        <v>165</v>
      </c>
      <c r="B3" s="94"/>
    </row>
    <row r="4" customFormat="false" ht="25.5" hidden="false" customHeight="true" outlineLevel="0" collapsed="false">
      <c r="A4" s="95" t="s">
        <v>166</v>
      </c>
      <c r="B4" s="96" t="s">
        <v>167</v>
      </c>
    </row>
    <row r="5" customFormat="false" ht="25.5" hidden="false" customHeight="true" outlineLevel="0" collapsed="false">
      <c r="A5" s="95" t="s">
        <v>166</v>
      </c>
      <c r="B5" s="96" t="s">
        <v>168</v>
      </c>
    </row>
    <row r="6" customFormat="false" ht="25.5" hidden="false" customHeight="true" outlineLevel="0" collapsed="false">
      <c r="A6" s="95" t="s">
        <v>166</v>
      </c>
      <c r="B6" s="96" t="s">
        <v>169</v>
      </c>
    </row>
    <row r="7" customFormat="false" ht="25.5" hidden="false" customHeight="true" outlineLevel="0" collapsed="false">
      <c r="A7" s="95" t="s">
        <v>166</v>
      </c>
      <c r="B7" s="96" t="s">
        <v>170</v>
      </c>
    </row>
    <row r="8" customFormat="false" ht="25.5" hidden="false" customHeight="true" outlineLevel="0" collapsed="false">
      <c r="A8" s="95" t="s">
        <v>166</v>
      </c>
      <c r="B8" s="96" t="s">
        <v>171</v>
      </c>
    </row>
    <row r="10" customFormat="false" ht="15" hidden="false" customHeight="true" outlineLevel="0" collapsed="false">
      <c r="A10" s="94" t="s">
        <v>172</v>
      </c>
      <c r="B10" s="94"/>
    </row>
    <row r="11" customFormat="false" ht="30" hidden="false" customHeight="true" outlineLevel="0" collapsed="false">
      <c r="A11" s="97" t="s">
        <v>6</v>
      </c>
      <c r="B11" s="98" t="s">
        <v>173</v>
      </c>
    </row>
    <row r="12" customFormat="false" ht="30" hidden="false" customHeight="true" outlineLevel="0" collapsed="false">
      <c r="A12" s="97" t="s">
        <v>7</v>
      </c>
      <c r="B12" s="98" t="s">
        <v>174</v>
      </c>
    </row>
    <row r="13" customFormat="false" ht="30" hidden="false" customHeight="true" outlineLevel="0" collapsed="false">
      <c r="A13" s="97" t="s">
        <v>175</v>
      </c>
      <c r="B13" s="98" t="s">
        <v>176</v>
      </c>
    </row>
    <row r="14" customFormat="false" ht="30" hidden="false" customHeight="true" outlineLevel="0" collapsed="false">
      <c r="A14" s="97" t="s">
        <v>12</v>
      </c>
      <c r="B14" s="98" t="s">
        <v>177</v>
      </c>
    </row>
    <row r="15" customFormat="false" ht="30" hidden="false" customHeight="true" outlineLevel="0" collapsed="false">
      <c r="A15" s="97" t="s">
        <v>13</v>
      </c>
      <c r="B15" s="98" t="s">
        <v>178</v>
      </c>
    </row>
    <row r="16" customFormat="false" ht="30" hidden="false" customHeight="true" outlineLevel="0" collapsed="false">
      <c r="A16" s="97" t="s">
        <v>179</v>
      </c>
      <c r="B16" s="98" t="s">
        <v>180</v>
      </c>
    </row>
    <row r="17" customFormat="false" ht="30" hidden="false" customHeight="true" outlineLevel="0" collapsed="false">
      <c r="A17" s="97" t="s">
        <v>20</v>
      </c>
      <c r="B17" s="98" t="s">
        <v>181</v>
      </c>
    </row>
    <row r="18" customFormat="false" ht="30" hidden="false" customHeight="true" outlineLevel="0" collapsed="false">
      <c r="A18" s="97" t="s">
        <v>21</v>
      </c>
      <c r="B18" s="98" t="s">
        <v>182</v>
      </c>
    </row>
    <row r="20" customFormat="false" ht="15" hidden="false" customHeight="true" outlineLevel="0" collapsed="false">
      <c r="A20" s="94" t="s">
        <v>183</v>
      </c>
      <c r="B20" s="94"/>
    </row>
    <row r="21" customFormat="false" ht="51.75" hidden="false" customHeight="true" outlineLevel="0" collapsed="false">
      <c r="A21" s="97" t="s">
        <v>184</v>
      </c>
      <c r="B21" s="98" t="s">
        <v>185</v>
      </c>
    </row>
    <row r="22" customFormat="false" ht="51.75" hidden="false" customHeight="true" outlineLevel="0" collapsed="false">
      <c r="A22" s="97" t="s">
        <v>186</v>
      </c>
      <c r="B22" s="98" t="s">
        <v>187</v>
      </c>
    </row>
    <row r="23" customFormat="false" ht="51.75" hidden="false" customHeight="true" outlineLevel="0" collapsed="false">
      <c r="A23" s="97" t="s">
        <v>188</v>
      </c>
      <c r="B23" s="98" t="s">
        <v>189</v>
      </c>
    </row>
    <row r="24" customFormat="false" ht="39.75" hidden="false" customHeight="true" outlineLevel="0" collapsed="false">
      <c r="A24" s="97" t="s">
        <v>190</v>
      </c>
      <c r="B24" s="98" t="s">
        <v>191</v>
      </c>
    </row>
    <row r="25" customFormat="false" ht="39.75" hidden="false" customHeight="true" outlineLevel="0" collapsed="false">
      <c r="A25" s="97" t="s">
        <v>192</v>
      </c>
      <c r="B25" s="98" t="s">
        <v>193</v>
      </c>
    </row>
  </sheetData>
  <mergeCells count="4">
    <mergeCell ref="A1:B1"/>
    <mergeCell ref="A3:B3"/>
    <mergeCell ref="A10:B10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2026-07-23T07:26:14Z</dcterms:created>
  <dc:creator>openpyxl</dc:creator>
  <dc:description/>
  <dc:language>en-US</dc:language>
  <cp:lastModifiedBy>officeapps</cp:lastModifiedBy>
  <dcterms:modified xsi:type="dcterms:W3CDTF">2026-09-15T09:25:04Z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